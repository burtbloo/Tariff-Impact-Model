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kurtlu/Downloads/"/>
    </mc:Choice>
  </mc:AlternateContent>
  <xr:revisionPtr revIDLastSave="0" documentId="13_ncr:1_{5FBA9F68-DB3C-BE46-9C9B-F05057992249}" xr6:coauthVersionLast="47" xr6:coauthVersionMax="47" xr10:uidLastSave="{00000000-0000-0000-0000-000000000000}"/>
  <bookViews>
    <workbookView xWindow="0" yWindow="600" windowWidth="33600" windowHeight="18700" tabRatio="500" activeTab="1" xr2:uid="{00000000-000D-0000-FFFF-FFFF00000000}"/>
  </bookViews>
  <sheets>
    <sheet name="Dashboard" sheetId="1" r:id="rId1"/>
    <sheet name="Tariff Rates" sheetId="2" r:id="rId2"/>
    <sheet name="Product Catalog" sheetId="3" r:id="rId3"/>
    <sheet name="Impact Analysis" sheetId="4" r:id="rId4"/>
    <sheet name="Methodology" sheetId="5" r:id="rId5"/>
  </sheets>
  <definedNames>
    <definedName name="_xlnm._FilterDatabase" localSheetId="3" hidden="1">'Impact Analysis'!$B$5:$N$237</definedName>
    <definedName name="_xlnm._FilterDatabase" localSheetId="2" hidden="1">'Product Catalog'!$B$3:$H$235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37" i="4" l="1"/>
  <c r="G237" i="4"/>
  <c r="F237" i="4"/>
  <c r="L237" i="4" s="1"/>
  <c r="E237" i="4"/>
  <c r="D237" i="4"/>
  <c r="C237" i="4"/>
  <c r="B237" i="4"/>
  <c r="I236" i="4"/>
  <c r="G236" i="4"/>
  <c r="F236" i="4"/>
  <c r="L236" i="4" s="1"/>
  <c r="E236" i="4"/>
  <c r="D236" i="4"/>
  <c r="C236" i="4"/>
  <c r="B236" i="4"/>
  <c r="L235" i="4"/>
  <c r="J235" i="4"/>
  <c r="I235" i="4"/>
  <c r="G235" i="4"/>
  <c r="F235" i="4"/>
  <c r="E235" i="4"/>
  <c r="H235" i="4" s="1"/>
  <c r="D235" i="4"/>
  <c r="C235" i="4"/>
  <c r="B235" i="4"/>
  <c r="I234" i="4"/>
  <c r="G234" i="4"/>
  <c r="F234" i="4"/>
  <c r="L234" i="4" s="1"/>
  <c r="E234" i="4"/>
  <c r="D234" i="4"/>
  <c r="C234" i="4"/>
  <c r="B234" i="4"/>
  <c r="L233" i="4"/>
  <c r="I233" i="4"/>
  <c r="G233" i="4"/>
  <c r="F233" i="4"/>
  <c r="E233" i="4"/>
  <c r="D233" i="4"/>
  <c r="C233" i="4"/>
  <c r="B233" i="4"/>
  <c r="I232" i="4"/>
  <c r="G232" i="4"/>
  <c r="F232" i="4"/>
  <c r="E232" i="4"/>
  <c r="D232" i="4"/>
  <c r="C232" i="4"/>
  <c r="B232" i="4"/>
  <c r="I231" i="4"/>
  <c r="H231" i="4"/>
  <c r="G231" i="4"/>
  <c r="F231" i="4"/>
  <c r="E231" i="4"/>
  <c r="D231" i="4"/>
  <c r="C231" i="4"/>
  <c r="B231" i="4"/>
  <c r="L230" i="4"/>
  <c r="K230" i="4"/>
  <c r="I230" i="4"/>
  <c r="H230" i="4"/>
  <c r="G230" i="4"/>
  <c r="F230" i="4"/>
  <c r="J230" i="4" s="1"/>
  <c r="E230" i="4"/>
  <c r="D230" i="4"/>
  <c r="C230" i="4"/>
  <c r="B230" i="4"/>
  <c r="J229" i="4"/>
  <c r="I229" i="4"/>
  <c r="H229" i="4"/>
  <c r="G229" i="4"/>
  <c r="F229" i="4"/>
  <c r="E229" i="4"/>
  <c r="D229" i="4"/>
  <c r="C229" i="4"/>
  <c r="B229" i="4"/>
  <c r="I228" i="4"/>
  <c r="G228" i="4"/>
  <c r="F228" i="4"/>
  <c r="E228" i="4"/>
  <c r="D228" i="4"/>
  <c r="C228" i="4"/>
  <c r="B228" i="4"/>
  <c r="L227" i="4"/>
  <c r="J227" i="4"/>
  <c r="I227" i="4"/>
  <c r="G227" i="4"/>
  <c r="H227" i="4" s="1"/>
  <c r="M227" i="4" s="1"/>
  <c r="N227" i="4" s="1"/>
  <c r="F227" i="4"/>
  <c r="E227" i="4"/>
  <c r="D227" i="4"/>
  <c r="C227" i="4"/>
  <c r="B227" i="4"/>
  <c r="I226" i="4"/>
  <c r="G226" i="4"/>
  <c r="H226" i="4" s="1"/>
  <c r="F226" i="4"/>
  <c r="E226" i="4"/>
  <c r="D226" i="4"/>
  <c r="C226" i="4"/>
  <c r="B226" i="4"/>
  <c r="L225" i="4"/>
  <c r="I225" i="4"/>
  <c r="G225" i="4"/>
  <c r="F225" i="4"/>
  <c r="E225" i="4"/>
  <c r="D225" i="4"/>
  <c r="C225" i="4"/>
  <c r="B225" i="4"/>
  <c r="I224" i="4"/>
  <c r="G224" i="4"/>
  <c r="F224" i="4"/>
  <c r="E224" i="4"/>
  <c r="D224" i="4"/>
  <c r="C224" i="4"/>
  <c r="B224" i="4"/>
  <c r="I223" i="4"/>
  <c r="H223" i="4"/>
  <c r="G223" i="4"/>
  <c r="F223" i="4"/>
  <c r="E223" i="4"/>
  <c r="D223" i="4"/>
  <c r="C223" i="4"/>
  <c r="B223" i="4"/>
  <c r="I222" i="4"/>
  <c r="G222" i="4"/>
  <c r="F222" i="4"/>
  <c r="J222" i="4" s="1"/>
  <c r="E222" i="4"/>
  <c r="D222" i="4"/>
  <c r="C222" i="4"/>
  <c r="B222" i="4"/>
  <c r="I221" i="4"/>
  <c r="H221" i="4"/>
  <c r="G221" i="4"/>
  <c r="F221" i="4"/>
  <c r="E221" i="4"/>
  <c r="J221" i="4" s="1"/>
  <c r="D221" i="4"/>
  <c r="C221" i="4"/>
  <c r="B221" i="4"/>
  <c r="J220" i="4"/>
  <c r="I220" i="4"/>
  <c r="G220" i="4"/>
  <c r="F220" i="4"/>
  <c r="E220" i="4"/>
  <c r="D220" i="4"/>
  <c r="C220" i="4"/>
  <c r="B220" i="4"/>
  <c r="L219" i="4"/>
  <c r="I219" i="4"/>
  <c r="G219" i="4"/>
  <c r="J219" i="4" s="1"/>
  <c r="F219" i="4"/>
  <c r="E219" i="4"/>
  <c r="D219" i="4"/>
  <c r="C219" i="4"/>
  <c r="B219" i="4"/>
  <c r="L218" i="4"/>
  <c r="I218" i="4"/>
  <c r="H218" i="4"/>
  <c r="G218" i="4"/>
  <c r="F218" i="4"/>
  <c r="J218" i="4" s="1"/>
  <c r="E218" i="4"/>
  <c r="D218" i="4"/>
  <c r="C218" i="4"/>
  <c r="B218" i="4"/>
  <c r="I217" i="4"/>
  <c r="G217" i="4"/>
  <c r="F217" i="4"/>
  <c r="E217" i="4"/>
  <c r="D217" i="4"/>
  <c r="C217" i="4"/>
  <c r="B217" i="4"/>
  <c r="J216" i="4"/>
  <c r="I216" i="4"/>
  <c r="G216" i="4"/>
  <c r="F216" i="4"/>
  <c r="E216" i="4"/>
  <c r="D216" i="4"/>
  <c r="C216" i="4"/>
  <c r="B216" i="4"/>
  <c r="I215" i="4"/>
  <c r="G215" i="4"/>
  <c r="F215" i="4"/>
  <c r="E215" i="4"/>
  <c r="D215" i="4"/>
  <c r="C215" i="4"/>
  <c r="B215" i="4"/>
  <c r="I214" i="4"/>
  <c r="G214" i="4"/>
  <c r="F214" i="4"/>
  <c r="E214" i="4"/>
  <c r="D214" i="4"/>
  <c r="C214" i="4"/>
  <c r="B214" i="4"/>
  <c r="I213" i="4"/>
  <c r="G213" i="4"/>
  <c r="F213" i="4"/>
  <c r="E213" i="4"/>
  <c r="D213" i="4"/>
  <c r="C213" i="4"/>
  <c r="B213" i="4"/>
  <c r="I212" i="4"/>
  <c r="G212" i="4"/>
  <c r="J212" i="4" s="1"/>
  <c r="F212" i="4"/>
  <c r="E212" i="4"/>
  <c r="D212" i="4"/>
  <c r="C212" i="4"/>
  <c r="B212" i="4"/>
  <c r="L211" i="4"/>
  <c r="J211" i="4"/>
  <c r="I211" i="4"/>
  <c r="G211" i="4"/>
  <c r="F211" i="4"/>
  <c r="E211" i="4"/>
  <c r="D211" i="4"/>
  <c r="C211" i="4"/>
  <c r="B211" i="4"/>
  <c r="L210" i="4"/>
  <c r="I210" i="4"/>
  <c r="H210" i="4"/>
  <c r="G210" i="4"/>
  <c r="F210" i="4"/>
  <c r="J210" i="4" s="1"/>
  <c r="E210" i="4"/>
  <c r="D210" i="4"/>
  <c r="C210" i="4"/>
  <c r="B210" i="4"/>
  <c r="L209" i="4"/>
  <c r="I209" i="4"/>
  <c r="G209" i="4"/>
  <c r="F209" i="4"/>
  <c r="E209" i="4"/>
  <c r="D209" i="4"/>
  <c r="C209" i="4"/>
  <c r="B209" i="4"/>
  <c r="I208" i="4"/>
  <c r="G208" i="4"/>
  <c r="F208" i="4"/>
  <c r="E208" i="4"/>
  <c r="D208" i="4"/>
  <c r="C208" i="4"/>
  <c r="B208" i="4"/>
  <c r="I207" i="4"/>
  <c r="G207" i="4"/>
  <c r="H207" i="4" s="1"/>
  <c r="F207" i="4"/>
  <c r="E207" i="4"/>
  <c r="D207" i="4"/>
  <c r="C207" i="4"/>
  <c r="B207" i="4"/>
  <c r="L206" i="4"/>
  <c r="K206" i="4"/>
  <c r="I206" i="4"/>
  <c r="H206" i="4"/>
  <c r="G206" i="4"/>
  <c r="F206" i="4"/>
  <c r="J206" i="4" s="1"/>
  <c r="E206" i="4"/>
  <c r="D206" i="4"/>
  <c r="C206" i="4"/>
  <c r="B206" i="4"/>
  <c r="I205" i="4"/>
  <c r="G205" i="4"/>
  <c r="F205" i="4"/>
  <c r="E205" i="4"/>
  <c r="D205" i="4"/>
  <c r="C205" i="4"/>
  <c r="B205" i="4"/>
  <c r="I204" i="4"/>
  <c r="G204" i="4"/>
  <c r="F204" i="4"/>
  <c r="E204" i="4"/>
  <c r="D204" i="4"/>
  <c r="C204" i="4"/>
  <c r="B204" i="4"/>
  <c r="I203" i="4"/>
  <c r="G203" i="4"/>
  <c r="F203" i="4"/>
  <c r="E203" i="4"/>
  <c r="D203" i="4"/>
  <c r="C203" i="4"/>
  <c r="B203" i="4"/>
  <c r="I202" i="4"/>
  <c r="H202" i="4"/>
  <c r="G202" i="4"/>
  <c r="L202" i="4" s="1"/>
  <c r="F202" i="4"/>
  <c r="E202" i="4"/>
  <c r="D202" i="4"/>
  <c r="C202" i="4"/>
  <c r="B202" i="4"/>
  <c r="I201" i="4"/>
  <c r="G201" i="4"/>
  <c r="F201" i="4"/>
  <c r="E201" i="4"/>
  <c r="D201" i="4"/>
  <c r="C201" i="4"/>
  <c r="B201" i="4"/>
  <c r="J200" i="4"/>
  <c r="I200" i="4"/>
  <c r="G200" i="4"/>
  <c r="F200" i="4"/>
  <c r="E200" i="4"/>
  <c r="D200" i="4"/>
  <c r="C200" i="4"/>
  <c r="B200" i="4"/>
  <c r="I199" i="4"/>
  <c r="G199" i="4"/>
  <c r="F199" i="4"/>
  <c r="E199" i="4"/>
  <c r="D199" i="4"/>
  <c r="C199" i="4"/>
  <c r="B199" i="4"/>
  <c r="I198" i="4"/>
  <c r="H198" i="4"/>
  <c r="G198" i="4"/>
  <c r="F198" i="4"/>
  <c r="J198" i="4" s="1"/>
  <c r="E198" i="4"/>
  <c r="L198" i="4" s="1"/>
  <c r="D198" i="4"/>
  <c r="C198" i="4"/>
  <c r="B198" i="4"/>
  <c r="J197" i="4"/>
  <c r="I197" i="4"/>
  <c r="H197" i="4"/>
  <c r="G197" i="4"/>
  <c r="F197" i="4"/>
  <c r="E197" i="4"/>
  <c r="D197" i="4"/>
  <c r="C197" i="4"/>
  <c r="B197" i="4"/>
  <c r="I196" i="4"/>
  <c r="G196" i="4"/>
  <c r="F196" i="4"/>
  <c r="E196" i="4"/>
  <c r="J196" i="4" s="1"/>
  <c r="D196" i="4"/>
  <c r="C196" i="4"/>
  <c r="B196" i="4"/>
  <c r="L195" i="4"/>
  <c r="J195" i="4"/>
  <c r="I195" i="4"/>
  <c r="G195" i="4"/>
  <c r="F195" i="4"/>
  <c r="H195" i="4" s="1"/>
  <c r="E195" i="4"/>
  <c r="D195" i="4"/>
  <c r="C195" i="4"/>
  <c r="B195" i="4"/>
  <c r="I194" i="4"/>
  <c r="G194" i="4"/>
  <c r="F194" i="4"/>
  <c r="J194" i="4" s="1"/>
  <c r="E194" i="4"/>
  <c r="D194" i="4"/>
  <c r="C194" i="4"/>
  <c r="B194" i="4"/>
  <c r="L193" i="4"/>
  <c r="I193" i="4"/>
  <c r="G193" i="4"/>
  <c r="F193" i="4"/>
  <c r="E193" i="4"/>
  <c r="D193" i="4"/>
  <c r="C193" i="4"/>
  <c r="B193" i="4"/>
  <c r="J192" i="4"/>
  <c r="I192" i="4"/>
  <c r="G192" i="4"/>
  <c r="F192" i="4"/>
  <c r="E192" i="4"/>
  <c r="D192" i="4"/>
  <c r="C192" i="4"/>
  <c r="B192" i="4"/>
  <c r="I191" i="4"/>
  <c r="H191" i="4"/>
  <c r="G191" i="4"/>
  <c r="F191" i="4"/>
  <c r="E191" i="4"/>
  <c r="D191" i="4"/>
  <c r="C191" i="4"/>
  <c r="B191" i="4"/>
  <c r="I190" i="4"/>
  <c r="G190" i="4"/>
  <c r="F190" i="4"/>
  <c r="E190" i="4"/>
  <c r="D190" i="4"/>
  <c r="C190" i="4"/>
  <c r="B190" i="4"/>
  <c r="I189" i="4"/>
  <c r="H189" i="4"/>
  <c r="G189" i="4"/>
  <c r="F189" i="4"/>
  <c r="E189" i="4"/>
  <c r="J189" i="4" s="1"/>
  <c r="D189" i="4"/>
  <c r="C189" i="4"/>
  <c r="B189" i="4"/>
  <c r="I188" i="4"/>
  <c r="G188" i="4"/>
  <c r="F188" i="4"/>
  <c r="E188" i="4"/>
  <c r="D188" i="4"/>
  <c r="C188" i="4"/>
  <c r="B188" i="4"/>
  <c r="I187" i="4"/>
  <c r="G187" i="4"/>
  <c r="F187" i="4"/>
  <c r="E187" i="4"/>
  <c r="D187" i="4"/>
  <c r="C187" i="4"/>
  <c r="B187" i="4"/>
  <c r="L186" i="4"/>
  <c r="I186" i="4"/>
  <c r="H186" i="4"/>
  <c r="G186" i="4"/>
  <c r="F186" i="4"/>
  <c r="J186" i="4" s="1"/>
  <c r="E186" i="4"/>
  <c r="D186" i="4"/>
  <c r="C186" i="4"/>
  <c r="B186" i="4"/>
  <c r="I185" i="4"/>
  <c r="G185" i="4"/>
  <c r="F185" i="4"/>
  <c r="E185" i="4"/>
  <c r="D185" i="4"/>
  <c r="C185" i="4"/>
  <c r="B185" i="4"/>
  <c r="J184" i="4"/>
  <c r="I184" i="4"/>
  <c r="G184" i="4"/>
  <c r="F184" i="4"/>
  <c r="E184" i="4"/>
  <c r="D184" i="4"/>
  <c r="C184" i="4"/>
  <c r="B184" i="4"/>
  <c r="I183" i="4"/>
  <c r="G183" i="4"/>
  <c r="F183" i="4"/>
  <c r="E183" i="4"/>
  <c r="D183" i="4"/>
  <c r="C183" i="4"/>
  <c r="B183" i="4"/>
  <c r="L182" i="4"/>
  <c r="I182" i="4"/>
  <c r="H182" i="4"/>
  <c r="G182" i="4"/>
  <c r="F182" i="4"/>
  <c r="E182" i="4"/>
  <c r="J182" i="4" s="1"/>
  <c r="D182" i="4"/>
  <c r="C182" i="4"/>
  <c r="B182" i="4"/>
  <c r="J181" i="4"/>
  <c r="I181" i="4"/>
  <c r="G181" i="4"/>
  <c r="F181" i="4"/>
  <c r="E181" i="4"/>
  <c r="H181" i="4" s="1"/>
  <c r="D181" i="4"/>
  <c r="C181" i="4"/>
  <c r="B181" i="4"/>
  <c r="I180" i="4"/>
  <c r="G180" i="4"/>
  <c r="J180" i="4" s="1"/>
  <c r="F180" i="4"/>
  <c r="E180" i="4"/>
  <c r="D180" i="4"/>
  <c r="C180" i="4"/>
  <c r="B180" i="4"/>
  <c r="L179" i="4"/>
  <c r="J179" i="4"/>
  <c r="I179" i="4"/>
  <c r="G179" i="4"/>
  <c r="F179" i="4"/>
  <c r="E179" i="4"/>
  <c r="D179" i="4"/>
  <c r="C179" i="4"/>
  <c r="B179" i="4"/>
  <c r="L178" i="4"/>
  <c r="I178" i="4"/>
  <c r="H178" i="4"/>
  <c r="G178" i="4"/>
  <c r="F178" i="4"/>
  <c r="J178" i="4" s="1"/>
  <c r="E178" i="4"/>
  <c r="D178" i="4"/>
  <c r="C178" i="4"/>
  <c r="B178" i="4"/>
  <c r="L177" i="4"/>
  <c r="I177" i="4"/>
  <c r="G177" i="4"/>
  <c r="F177" i="4"/>
  <c r="E177" i="4"/>
  <c r="D177" i="4"/>
  <c r="C177" i="4"/>
  <c r="B177" i="4"/>
  <c r="I176" i="4"/>
  <c r="G176" i="4"/>
  <c r="F176" i="4"/>
  <c r="E176" i="4"/>
  <c r="D176" i="4"/>
  <c r="C176" i="4"/>
  <c r="B176" i="4"/>
  <c r="I175" i="4"/>
  <c r="H175" i="4"/>
  <c r="G175" i="4"/>
  <c r="F175" i="4"/>
  <c r="E175" i="4"/>
  <c r="D175" i="4"/>
  <c r="C175" i="4"/>
  <c r="B175" i="4"/>
  <c r="L174" i="4"/>
  <c r="K174" i="4"/>
  <c r="I174" i="4"/>
  <c r="H174" i="4"/>
  <c r="G174" i="4"/>
  <c r="J174" i="4" s="1"/>
  <c r="F174" i="4"/>
  <c r="E174" i="4"/>
  <c r="D174" i="4"/>
  <c r="C174" i="4"/>
  <c r="B174" i="4"/>
  <c r="I173" i="4"/>
  <c r="H173" i="4"/>
  <c r="G173" i="4"/>
  <c r="F173" i="4"/>
  <c r="E173" i="4"/>
  <c r="J173" i="4" s="1"/>
  <c r="D173" i="4"/>
  <c r="C173" i="4"/>
  <c r="B173" i="4"/>
  <c r="I172" i="4"/>
  <c r="G172" i="4"/>
  <c r="F172" i="4"/>
  <c r="E172" i="4"/>
  <c r="D172" i="4"/>
  <c r="C172" i="4"/>
  <c r="B172" i="4"/>
  <c r="I171" i="4"/>
  <c r="G171" i="4"/>
  <c r="F171" i="4"/>
  <c r="E171" i="4"/>
  <c r="D171" i="4"/>
  <c r="C171" i="4"/>
  <c r="B171" i="4"/>
  <c r="I170" i="4"/>
  <c r="G170" i="4"/>
  <c r="L170" i="4" s="1"/>
  <c r="F170" i="4"/>
  <c r="E170" i="4"/>
  <c r="D170" i="4"/>
  <c r="C170" i="4"/>
  <c r="B170" i="4"/>
  <c r="I169" i="4"/>
  <c r="G169" i="4"/>
  <c r="F169" i="4"/>
  <c r="E169" i="4"/>
  <c r="D169" i="4"/>
  <c r="C169" i="4"/>
  <c r="B169" i="4"/>
  <c r="J168" i="4"/>
  <c r="I168" i="4"/>
  <c r="G168" i="4"/>
  <c r="F168" i="4"/>
  <c r="E168" i="4"/>
  <c r="D168" i="4"/>
  <c r="C168" i="4"/>
  <c r="B168" i="4"/>
  <c r="I167" i="4"/>
  <c r="G167" i="4"/>
  <c r="F167" i="4"/>
  <c r="E167" i="4"/>
  <c r="D167" i="4"/>
  <c r="C167" i="4"/>
  <c r="B167" i="4"/>
  <c r="I166" i="4"/>
  <c r="H166" i="4"/>
  <c r="G166" i="4"/>
  <c r="F166" i="4"/>
  <c r="E166" i="4"/>
  <c r="J166" i="4" s="1"/>
  <c r="D166" i="4"/>
  <c r="C166" i="4"/>
  <c r="B166" i="4"/>
  <c r="J165" i="4"/>
  <c r="I165" i="4"/>
  <c r="H165" i="4"/>
  <c r="G165" i="4"/>
  <c r="F165" i="4"/>
  <c r="E165" i="4"/>
  <c r="D165" i="4"/>
  <c r="C165" i="4"/>
  <c r="B165" i="4"/>
  <c r="I164" i="4"/>
  <c r="G164" i="4"/>
  <c r="F164" i="4"/>
  <c r="E164" i="4"/>
  <c r="J164" i="4" s="1"/>
  <c r="D164" i="4"/>
  <c r="C164" i="4"/>
  <c r="B164" i="4"/>
  <c r="L163" i="4"/>
  <c r="J163" i="4"/>
  <c r="I163" i="4"/>
  <c r="G163" i="4"/>
  <c r="H163" i="4" s="1"/>
  <c r="F163" i="4"/>
  <c r="E163" i="4"/>
  <c r="D163" i="4"/>
  <c r="C163" i="4"/>
  <c r="B163" i="4"/>
  <c r="L162" i="4"/>
  <c r="I162" i="4"/>
  <c r="G162" i="4"/>
  <c r="H162" i="4" s="1"/>
  <c r="F162" i="4"/>
  <c r="J162" i="4" s="1"/>
  <c r="E162" i="4"/>
  <c r="D162" i="4"/>
  <c r="C162" i="4"/>
  <c r="B162" i="4"/>
  <c r="L161" i="4"/>
  <c r="I161" i="4"/>
  <c r="G161" i="4"/>
  <c r="F161" i="4"/>
  <c r="E161" i="4"/>
  <c r="D161" i="4"/>
  <c r="C161" i="4"/>
  <c r="B161" i="4"/>
  <c r="I160" i="4"/>
  <c r="G160" i="4"/>
  <c r="F160" i="4"/>
  <c r="E160" i="4"/>
  <c r="D160" i="4"/>
  <c r="C160" i="4"/>
  <c r="B160" i="4"/>
  <c r="I159" i="4"/>
  <c r="H159" i="4"/>
  <c r="G159" i="4"/>
  <c r="F159" i="4"/>
  <c r="E159" i="4"/>
  <c r="D159" i="4"/>
  <c r="C159" i="4"/>
  <c r="B159" i="4"/>
  <c r="I158" i="4"/>
  <c r="G158" i="4"/>
  <c r="F158" i="4"/>
  <c r="J158" i="4" s="1"/>
  <c r="E158" i="4"/>
  <c r="D158" i="4"/>
  <c r="C158" i="4"/>
  <c r="B158" i="4"/>
  <c r="I157" i="4"/>
  <c r="H157" i="4"/>
  <c r="G157" i="4"/>
  <c r="F157" i="4"/>
  <c r="E157" i="4"/>
  <c r="J157" i="4" s="1"/>
  <c r="D157" i="4"/>
  <c r="C157" i="4"/>
  <c r="B157" i="4"/>
  <c r="I156" i="4"/>
  <c r="G156" i="4"/>
  <c r="F156" i="4"/>
  <c r="E156" i="4"/>
  <c r="D156" i="4"/>
  <c r="C156" i="4"/>
  <c r="B156" i="4"/>
  <c r="I155" i="4"/>
  <c r="G155" i="4"/>
  <c r="F155" i="4"/>
  <c r="E155" i="4"/>
  <c r="D155" i="4"/>
  <c r="C155" i="4"/>
  <c r="B155" i="4"/>
  <c r="L154" i="4"/>
  <c r="I154" i="4"/>
  <c r="H154" i="4"/>
  <c r="G154" i="4"/>
  <c r="F154" i="4"/>
  <c r="J154" i="4" s="1"/>
  <c r="E154" i="4"/>
  <c r="D154" i="4"/>
  <c r="C154" i="4"/>
  <c r="B154" i="4"/>
  <c r="I153" i="4"/>
  <c r="G153" i="4"/>
  <c r="F153" i="4"/>
  <c r="E153" i="4"/>
  <c r="D153" i="4"/>
  <c r="C153" i="4"/>
  <c r="B153" i="4"/>
  <c r="J152" i="4"/>
  <c r="I152" i="4"/>
  <c r="G152" i="4"/>
  <c r="F152" i="4"/>
  <c r="E152" i="4"/>
  <c r="D152" i="4"/>
  <c r="C152" i="4"/>
  <c r="B152" i="4"/>
  <c r="I151" i="4"/>
  <c r="G151" i="4"/>
  <c r="F151" i="4"/>
  <c r="E151" i="4"/>
  <c r="D151" i="4"/>
  <c r="C151" i="4"/>
  <c r="B151" i="4"/>
  <c r="L150" i="4"/>
  <c r="I150" i="4"/>
  <c r="G150" i="4"/>
  <c r="F150" i="4"/>
  <c r="E150" i="4"/>
  <c r="D150" i="4"/>
  <c r="C150" i="4"/>
  <c r="B150" i="4"/>
  <c r="J149" i="4"/>
  <c r="I149" i="4"/>
  <c r="G149" i="4"/>
  <c r="F149" i="4"/>
  <c r="E149" i="4"/>
  <c r="H149" i="4" s="1"/>
  <c r="D149" i="4"/>
  <c r="C149" i="4"/>
  <c r="B149" i="4"/>
  <c r="J148" i="4"/>
  <c r="I148" i="4"/>
  <c r="G148" i="4"/>
  <c r="F148" i="4"/>
  <c r="E148" i="4"/>
  <c r="D148" i="4"/>
  <c r="C148" i="4"/>
  <c r="B148" i="4"/>
  <c r="L147" i="4"/>
  <c r="J147" i="4"/>
  <c r="I147" i="4"/>
  <c r="G147" i="4"/>
  <c r="F147" i="4"/>
  <c r="E147" i="4"/>
  <c r="D147" i="4"/>
  <c r="C147" i="4"/>
  <c r="B147" i="4"/>
  <c r="L146" i="4"/>
  <c r="I146" i="4"/>
  <c r="H146" i="4"/>
  <c r="G146" i="4"/>
  <c r="F146" i="4"/>
  <c r="J146" i="4" s="1"/>
  <c r="E146" i="4"/>
  <c r="D146" i="4"/>
  <c r="C146" i="4"/>
  <c r="B146" i="4"/>
  <c r="L145" i="4"/>
  <c r="I145" i="4"/>
  <c r="G145" i="4"/>
  <c r="F145" i="4"/>
  <c r="E145" i="4"/>
  <c r="D145" i="4"/>
  <c r="C145" i="4"/>
  <c r="B145" i="4"/>
  <c r="I144" i="4"/>
  <c r="G144" i="4"/>
  <c r="F144" i="4"/>
  <c r="E144" i="4"/>
  <c r="D144" i="4"/>
  <c r="C144" i="4"/>
  <c r="B144" i="4"/>
  <c r="I143" i="4"/>
  <c r="H143" i="4"/>
  <c r="G143" i="4"/>
  <c r="F143" i="4"/>
  <c r="E143" i="4"/>
  <c r="D143" i="4"/>
  <c r="C143" i="4"/>
  <c r="B143" i="4"/>
  <c r="L142" i="4"/>
  <c r="I142" i="4"/>
  <c r="H142" i="4"/>
  <c r="G142" i="4"/>
  <c r="F142" i="4"/>
  <c r="J142" i="4" s="1"/>
  <c r="K142" i="4" s="1"/>
  <c r="E142" i="4"/>
  <c r="D142" i="4"/>
  <c r="C142" i="4"/>
  <c r="B142" i="4"/>
  <c r="I141" i="4"/>
  <c r="H141" i="4"/>
  <c r="G141" i="4"/>
  <c r="F141" i="4"/>
  <c r="E141" i="4"/>
  <c r="J141" i="4" s="1"/>
  <c r="D141" i="4"/>
  <c r="C141" i="4"/>
  <c r="B141" i="4"/>
  <c r="I140" i="4"/>
  <c r="G140" i="4"/>
  <c r="F140" i="4"/>
  <c r="E140" i="4"/>
  <c r="D140" i="4"/>
  <c r="C140" i="4"/>
  <c r="B140" i="4"/>
  <c r="I139" i="4"/>
  <c r="G139" i="4"/>
  <c r="F139" i="4"/>
  <c r="H139" i="4" s="1"/>
  <c r="E139" i="4"/>
  <c r="D139" i="4"/>
  <c r="C139" i="4"/>
  <c r="B139" i="4"/>
  <c r="I138" i="4"/>
  <c r="G138" i="4"/>
  <c r="L138" i="4" s="1"/>
  <c r="F138" i="4"/>
  <c r="E138" i="4"/>
  <c r="D138" i="4"/>
  <c r="C138" i="4"/>
  <c r="B138" i="4"/>
  <c r="L137" i="4"/>
  <c r="I137" i="4"/>
  <c r="G137" i="4"/>
  <c r="F137" i="4"/>
  <c r="E137" i="4"/>
  <c r="D137" i="4"/>
  <c r="C137" i="4"/>
  <c r="B137" i="4"/>
  <c r="J136" i="4"/>
  <c r="I136" i="4"/>
  <c r="G136" i="4"/>
  <c r="F136" i="4"/>
  <c r="E136" i="4"/>
  <c r="D136" i="4"/>
  <c r="C136" i="4"/>
  <c r="B136" i="4"/>
  <c r="I135" i="4"/>
  <c r="G135" i="4"/>
  <c r="F135" i="4"/>
  <c r="E135" i="4"/>
  <c r="D135" i="4"/>
  <c r="C135" i="4"/>
  <c r="B135" i="4"/>
  <c r="I134" i="4"/>
  <c r="H134" i="4"/>
  <c r="G134" i="4"/>
  <c r="F134" i="4"/>
  <c r="J134" i="4" s="1"/>
  <c r="E134" i="4"/>
  <c r="L134" i="4" s="1"/>
  <c r="D134" i="4"/>
  <c r="C134" i="4"/>
  <c r="B134" i="4"/>
  <c r="J133" i="4"/>
  <c r="I133" i="4"/>
  <c r="H133" i="4"/>
  <c r="G133" i="4"/>
  <c r="F133" i="4"/>
  <c r="E133" i="4"/>
  <c r="D133" i="4"/>
  <c r="C133" i="4"/>
  <c r="B133" i="4"/>
  <c r="I132" i="4"/>
  <c r="G132" i="4"/>
  <c r="F132" i="4"/>
  <c r="E132" i="4"/>
  <c r="J132" i="4" s="1"/>
  <c r="D132" i="4"/>
  <c r="C132" i="4"/>
  <c r="B132" i="4"/>
  <c r="L131" i="4"/>
  <c r="J131" i="4"/>
  <c r="I131" i="4"/>
  <c r="G131" i="4"/>
  <c r="F131" i="4"/>
  <c r="H131" i="4" s="1"/>
  <c r="E131" i="4"/>
  <c r="D131" i="4"/>
  <c r="C131" i="4"/>
  <c r="B131" i="4"/>
  <c r="L130" i="4"/>
  <c r="I130" i="4"/>
  <c r="G130" i="4"/>
  <c r="H130" i="4" s="1"/>
  <c r="F130" i="4"/>
  <c r="J130" i="4" s="1"/>
  <c r="E130" i="4"/>
  <c r="D130" i="4"/>
  <c r="C130" i="4"/>
  <c r="B130" i="4"/>
  <c r="L129" i="4"/>
  <c r="I129" i="4"/>
  <c r="G129" i="4"/>
  <c r="F129" i="4"/>
  <c r="E129" i="4"/>
  <c r="D129" i="4"/>
  <c r="C129" i="4"/>
  <c r="B129" i="4"/>
  <c r="I128" i="4"/>
  <c r="G128" i="4"/>
  <c r="F128" i="4"/>
  <c r="E128" i="4"/>
  <c r="D128" i="4"/>
  <c r="C128" i="4"/>
  <c r="B128" i="4"/>
  <c r="I127" i="4"/>
  <c r="H127" i="4"/>
  <c r="G127" i="4"/>
  <c r="F127" i="4"/>
  <c r="E127" i="4"/>
  <c r="D127" i="4"/>
  <c r="C127" i="4"/>
  <c r="B127" i="4"/>
  <c r="I126" i="4"/>
  <c r="G126" i="4"/>
  <c r="F126" i="4"/>
  <c r="E126" i="4"/>
  <c r="D126" i="4"/>
  <c r="C126" i="4"/>
  <c r="B126" i="4"/>
  <c r="I125" i="4"/>
  <c r="H125" i="4"/>
  <c r="G125" i="4"/>
  <c r="F125" i="4"/>
  <c r="E125" i="4"/>
  <c r="J125" i="4" s="1"/>
  <c r="D125" i="4"/>
  <c r="C125" i="4"/>
  <c r="B125" i="4"/>
  <c r="I124" i="4"/>
  <c r="G124" i="4"/>
  <c r="H124" i="4" s="1"/>
  <c r="F124" i="4"/>
  <c r="E124" i="4"/>
  <c r="D124" i="4"/>
  <c r="C124" i="4"/>
  <c r="B124" i="4"/>
  <c r="I123" i="4"/>
  <c r="G123" i="4"/>
  <c r="F123" i="4"/>
  <c r="E123" i="4"/>
  <c r="D123" i="4"/>
  <c r="C123" i="4"/>
  <c r="B123" i="4"/>
  <c r="I122" i="4"/>
  <c r="G122" i="4"/>
  <c r="F122" i="4"/>
  <c r="E122" i="4"/>
  <c r="J122" i="4" s="1"/>
  <c r="D122" i="4"/>
  <c r="C122" i="4"/>
  <c r="B122" i="4"/>
  <c r="J121" i="4"/>
  <c r="I121" i="4"/>
  <c r="G121" i="4"/>
  <c r="H121" i="4" s="1"/>
  <c r="F121" i="4"/>
  <c r="L121" i="4" s="1"/>
  <c r="M121" i="4" s="1"/>
  <c r="N121" i="4" s="1"/>
  <c r="E121" i="4"/>
  <c r="D121" i="4"/>
  <c r="C121" i="4"/>
  <c r="B121" i="4"/>
  <c r="I120" i="4"/>
  <c r="G120" i="4"/>
  <c r="F120" i="4"/>
  <c r="E120" i="4"/>
  <c r="D120" i="4"/>
  <c r="C120" i="4"/>
  <c r="B120" i="4"/>
  <c r="J119" i="4"/>
  <c r="I119" i="4"/>
  <c r="G119" i="4"/>
  <c r="H119" i="4" s="1"/>
  <c r="F119" i="4"/>
  <c r="E119" i="4"/>
  <c r="D119" i="4"/>
  <c r="C119" i="4"/>
  <c r="B119" i="4"/>
  <c r="L118" i="4"/>
  <c r="J118" i="4"/>
  <c r="I118" i="4"/>
  <c r="G118" i="4"/>
  <c r="F118" i="4"/>
  <c r="E118" i="4"/>
  <c r="D118" i="4"/>
  <c r="C118" i="4"/>
  <c r="B118" i="4"/>
  <c r="I117" i="4"/>
  <c r="G117" i="4"/>
  <c r="J117" i="4" s="1"/>
  <c r="F117" i="4"/>
  <c r="E117" i="4"/>
  <c r="D117" i="4"/>
  <c r="C117" i="4"/>
  <c r="B117" i="4"/>
  <c r="I116" i="4"/>
  <c r="G116" i="4"/>
  <c r="F116" i="4"/>
  <c r="E116" i="4"/>
  <c r="D116" i="4"/>
  <c r="C116" i="4"/>
  <c r="B116" i="4"/>
  <c r="J115" i="4"/>
  <c r="I115" i="4"/>
  <c r="H115" i="4"/>
  <c r="G115" i="4"/>
  <c r="F115" i="4"/>
  <c r="L115" i="4" s="1"/>
  <c r="E115" i="4"/>
  <c r="D115" i="4"/>
  <c r="C115" i="4"/>
  <c r="B115" i="4"/>
  <c r="I114" i="4"/>
  <c r="G114" i="4"/>
  <c r="F114" i="4"/>
  <c r="E114" i="4"/>
  <c r="D114" i="4"/>
  <c r="C114" i="4"/>
  <c r="B114" i="4"/>
  <c r="J113" i="4"/>
  <c r="I113" i="4"/>
  <c r="G113" i="4"/>
  <c r="H113" i="4" s="1"/>
  <c r="F113" i="4"/>
  <c r="E113" i="4"/>
  <c r="D113" i="4"/>
  <c r="C113" i="4"/>
  <c r="B113" i="4"/>
  <c r="I112" i="4"/>
  <c r="H112" i="4"/>
  <c r="G112" i="4"/>
  <c r="F112" i="4"/>
  <c r="E112" i="4"/>
  <c r="D112" i="4"/>
  <c r="C112" i="4"/>
  <c r="B112" i="4"/>
  <c r="L111" i="4"/>
  <c r="M111" i="4" s="1"/>
  <c r="N111" i="4" s="1"/>
  <c r="J111" i="4"/>
  <c r="I111" i="4"/>
  <c r="H111" i="4"/>
  <c r="G111" i="4"/>
  <c r="F111" i="4"/>
  <c r="E111" i="4"/>
  <c r="D111" i="4"/>
  <c r="C111" i="4"/>
  <c r="B111" i="4"/>
  <c r="I110" i="4"/>
  <c r="G110" i="4"/>
  <c r="F110" i="4"/>
  <c r="E110" i="4"/>
  <c r="D110" i="4"/>
  <c r="C110" i="4"/>
  <c r="B110" i="4"/>
  <c r="I109" i="4"/>
  <c r="G109" i="4"/>
  <c r="L109" i="4" s="1"/>
  <c r="F109" i="4"/>
  <c r="E109" i="4"/>
  <c r="D109" i="4"/>
  <c r="C109" i="4"/>
  <c r="B109" i="4"/>
  <c r="I108" i="4"/>
  <c r="G108" i="4"/>
  <c r="F108" i="4"/>
  <c r="E108" i="4"/>
  <c r="D108" i="4"/>
  <c r="C108" i="4"/>
  <c r="B108" i="4"/>
  <c r="J107" i="4"/>
  <c r="I107" i="4"/>
  <c r="G107" i="4"/>
  <c r="F107" i="4"/>
  <c r="E107" i="4"/>
  <c r="D107" i="4"/>
  <c r="C107" i="4"/>
  <c r="B107" i="4"/>
  <c r="I106" i="4"/>
  <c r="G106" i="4"/>
  <c r="H106" i="4" s="1"/>
  <c r="F106" i="4"/>
  <c r="E106" i="4"/>
  <c r="D106" i="4"/>
  <c r="C106" i="4"/>
  <c r="B106" i="4"/>
  <c r="L105" i="4"/>
  <c r="I105" i="4"/>
  <c r="G105" i="4"/>
  <c r="F105" i="4"/>
  <c r="E105" i="4"/>
  <c r="D105" i="4"/>
  <c r="C105" i="4"/>
  <c r="B105" i="4"/>
  <c r="J104" i="4"/>
  <c r="I104" i="4"/>
  <c r="G104" i="4"/>
  <c r="F104" i="4"/>
  <c r="E104" i="4"/>
  <c r="D104" i="4"/>
  <c r="C104" i="4"/>
  <c r="B104" i="4"/>
  <c r="I103" i="4"/>
  <c r="G103" i="4"/>
  <c r="F103" i="4"/>
  <c r="E103" i="4"/>
  <c r="L103" i="4" s="1"/>
  <c r="D103" i="4"/>
  <c r="C103" i="4"/>
  <c r="B103" i="4"/>
  <c r="I102" i="4"/>
  <c r="G102" i="4"/>
  <c r="F102" i="4"/>
  <c r="E102" i="4"/>
  <c r="D102" i="4"/>
  <c r="C102" i="4"/>
  <c r="B102" i="4"/>
  <c r="I101" i="4"/>
  <c r="G101" i="4"/>
  <c r="F101" i="4"/>
  <c r="E101" i="4"/>
  <c r="D101" i="4"/>
  <c r="C101" i="4"/>
  <c r="B101" i="4"/>
  <c r="I100" i="4"/>
  <c r="G100" i="4"/>
  <c r="H100" i="4" s="1"/>
  <c r="F100" i="4"/>
  <c r="E100" i="4"/>
  <c r="D100" i="4"/>
  <c r="C100" i="4"/>
  <c r="B100" i="4"/>
  <c r="L99" i="4"/>
  <c r="I99" i="4"/>
  <c r="G99" i="4"/>
  <c r="F99" i="4"/>
  <c r="E99" i="4"/>
  <c r="D99" i="4"/>
  <c r="C99" i="4"/>
  <c r="B99" i="4"/>
  <c r="J98" i="4"/>
  <c r="I98" i="4"/>
  <c r="G98" i="4"/>
  <c r="F98" i="4"/>
  <c r="E98" i="4"/>
  <c r="D98" i="4"/>
  <c r="C98" i="4"/>
  <c r="B98" i="4"/>
  <c r="I97" i="4"/>
  <c r="G97" i="4"/>
  <c r="F97" i="4"/>
  <c r="E97" i="4"/>
  <c r="L97" i="4" s="1"/>
  <c r="D97" i="4"/>
  <c r="C97" i="4"/>
  <c r="B97" i="4"/>
  <c r="L96" i="4"/>
  <c r="I96" i="4"/>
  <c r="H96" i="4"/>
  <c r="G96" i="4"/>
  <c r="J96" i="4" s="1"/>
  <c r="F96" i="4"/>
  <c r="E96" i="4"/>
  <c r="D96" i="4"/>
  <c r="C96" i="4"/>
  <c r="B96" i="4"/>
  <c r="I95" i="4"/>
  <c r="H95" i="4"/>
  <c r="G95" i="4"/>
  <c r="L95" i="4" s="1"/>
  <c r="F95" i="4"/>
  <c r="E95" i="4"/>
  <c r="D95" i="4"/>
  <c r="C95" i="4"/>
  <c r="B95" i="4"/>
  <c r="L94" i="4"/>
  <c r="I94" i="4"/>
  <c r="G94" i="4"/>
  <c r="J94" i="4" s="1"/>
  <c r="F94" i="4"/>
  <c r="E94" i="4"/>
  <c r="D94" i="4"/>
  <c r="C94" i="4"/>
  <c r="B94" i="4"/>
  <c r="I93" i="4"/>
  <c r="G93" i="4"/>
  <c r="F93" i="4"/>
  <c r="E93" i="4"/>
  <c r="D93" i="4"/>
  <c r="C93" i="4"/>
  <c r="B93" i="4"/>
  <c r="M92" i="4"/>
  <c r="N92" i="4" s="1"/>
  <c r="L92" i="4"/>
  <c r="I92" i="4"/>
  <c r="H92" i="4"/>
  <c r="G92" i="4"/>
  <c r="F92" i="4"/>
  <c r="E92" i="4"/>
  <c r="D92" i="4"/>
  <c r="C92" i="4"/>
  <c r="B92" i="4"/>
  <c r="I91" i="4"/>
  <c r="G91" i="4"/>
  <c r="F91" i="4"/>
  <c r="E91" i="4"/>
  <c r="H91" i="4" s="1"/>
  <c r="D91" i="4"/>
  <c r="C91" i="4"/>
  <c r="B91" i="4"/>
  <c r="J90" i="4"/>
  <c r="I90" i="4"/>
  <c r="H90" i="4"/>
  <c r="G90" i="4"/>
  <c r="F90" i="4"/>
  <c r="E90" i="4"/>
  <c r="D90" i="4"/>
  <c r="C90" i="4"/>
  <c r="B90" i="4"/>
  <c r="J89" i="4"/>
  <c r="I89" i="4"/>
  <c r="G89" i="4"/>
  <c r="F89" i="4"/>
  <c r="E89" i="4"/>
  <c r="D89" i="4"/>
  <c r="C89" i="4"/>
  <c r="B89" i="4"/>
  <c r="I88" i="4"/>
  <c r="G88" i="4"/>
  <c r="F88" i="4"/>
  <c r="E88" i="4"/>
  <c r="L88" i="4" s="1"/>
  <c r="D88" i="4"/>
  <c r="C88" i="4"/>
  <c r="B88" i="4"/>
  <c r="I87" i="4"/>
  <c r="G87" i="4"/>
  <c r="J87" i="4" s="1"/>
  <c r="F87" i="4"/>
  <c r="E87" i="4"/>
  <c r="D87" i="4"/>
  <c r="C87" i="4"/>
  <c r="B87" i="4"/>
  <c r="I86" i="4"/>
  <c r="G86" i="4"/>
  <c r="F86" i="4"/>
  <c r="E86" i="4"/>
  <c r="L86" i="4" s="1"/>
  <c r="D86" i="4"/>
  <c r="C86" i="4"/>
  <c r="B86" i="4"/>
  <c r="J85" i="4"/>
  <c r="I85" i="4"/>
  <c r="G85" i="4"/>
  <c r="F85" i="4"/>
  <c r="E85" i="4"/>
  <c r="D85" i="4"/>
  <c r="C85" i="4"/>
  <c r="B85" i="4"/>
  <c r="L84" i="4"/>
  <c r="I84" i="4"/>
  <c r="G84" i="4"/>
  <c r="F84" i="4"/>
  <c r="E84" i="4"/>
  <c r="D84" i="4"/>
  <c r="C84" i="4"/>
  <c r="B84" i="4"/>
  <c r="N83" i="4"/>
  <c r="I83" i="4"/>
  <c r="H83" i="4"/>
  <c r="M83" i="4" s="1"/>
  <c r="G83" i="4"/>
  <c r="F83" i="4"/>
  <c r="L83" i="4" s="1"/>
  <c r="E83" i="4"/>
  <c r="D83" i="4"/>
  <c r="C83" i="4"/>
  <c r="B83" i="4"/>
  <c r="I82" i="4"/>
  <c r="G82" i="4"/>
  <c r="F82" i="4"/>
  <c r="E82" i="4"/>
  <c r="D82" i="4"/>
  <c r="C82" i="4"/>
  <c r="B82" i="4"/>
  <c r="L81" i="4"/>
  <c r="J81" i="4"/>
  <c r="K81" i="4" s="1"/>
  <c r="I81" i="4"/>
  <c r="H81" i="4"/>
  <c r="G81" i="4"/>
  <c r="F81" i="4"/>
  <c r="E81" i="4"/>
  <c r="D81" i="4"/>
  <c r="C81" i="4"/>
  <c r="B81" i="4"/>
  <c r="I80" i="4"/>
  <c r="H80" i="4"/>
  <c r="G80" i="4"/>
  <c r="F80" i="4"/>
  <c r="E80" i="4"/>
  <c r="D80" i="4"/>
  <c r="C80" i="4"/>
  <c r="B80" i="4"/>
  <c r="M79" i="4"/>
  <c r="N79" i="4" s="1"/>
  <c r="L79" i="4"/>
  <c r="I79" i="4"/>
  <c r="H79" i="4"/>
  <c r="K79" i="4" s="1"/>
  <c r="G79" i="4"/>
  <c r="J79" i="4" s="1"/>
  <c r="F79" i="4"/>
  <c r="E79" i="4"/>
  <c r="D79" i="4"/>
  <c r="C79" i="4"/>
  <c r="B79" i="4"/>
  <c r="I78" i="4"/>
  <c r="G78" i="4"/>
  <c r="F78" i="4"/>
  <c r="E78" i="4"/>
  <c r="D78" i="4"/>
  <c r="C78" i="4"/>
  <c r="B78" i="4"/>
  <c r="L77" i="4"/>
  <c r="I77" i="4"/>
  <c r="H77" i="4"/>
  <c r="G77" i="4"/>
  <c r="J77" i="4" s="1"/>
  <c r="F77" i="4"/>
  <c r="E77" i="4"/>
  <c r="D77" i="4"/>
  <c r="C77" i="4"/>
  <c r="B77" i="4"/>
  <c r="I76" i="4"/>
  <c r="H76" i="4"/>
  <c r="G76" i="4"/>
  <c r="L76" i="4" s="1"/>
  <c r="F76" i="4"/>
  <c r="E76" i="4"/>
  <c r="D76" i="4"/>
  <c r="C76" i="4"/>
  <c r="B76" i="4"/>
  <c r="L75" i="4"/>
  <c r="I75" i="4"/>
  <c r="G75" i="4"/>
  <c r="F75" i="4"/>
  <c r="E75" i="4"/>
  <c r="J75" i="4" s="1"/>
  <c r="D75" i="4"/>
  <c r="C75" i="4"/>
  <c r="B75" i="4"/>
  <c r="I74" i="4"/>
  <c r="G74" i="4"/>
  <c r="F74" i="4"/>
  <c r="E74" i="4"/>
  <c r="D74" i="4"/>
  <c r="C74" i="4"/>
  <c r="B74" i="4"/>
  <c r="I73" i="4"/>
  <c r="G73" i="4"/>
  <c r="F73" i="4"/>
  <c r="H73" i="4" s="1"/>
  <c r="E73" i="4"/>
  <c r="D73" i="4"/>
  <c r="C73" i="4"/>
  <c r="B73" i="4"/>
  <c r="I72" i="4"/>
  <c r="G72" i="4"/>
  <c r="F72" i="4"/>
  <c r="E72" i="4"/>
  <c r="D72" i="4"/>
  <c r="C72" i="4"/>
  <c r="B72" i="4"/>
  <c r="L71" i="4"/>
  <c r="I71" i="4"/>
  <c r="G71" i="4"/>
  <c r="F71" i="4"/>
  <c r="E71" i="4"/>
  <c r="D71" i="4"/>
  <c r="C71" i="4"/>
  <c r="B71" i="4"/>
  <c r="J70" i="4"/>
  <c r="I70" i="4"/>
  <c r="G70" i="4"/>
  <c r="F70" i="4"/>
  <c r="E70" i="4"/>
  <c r="D70" i="4"/>
  <c r="C70" i="4"/>
  <c r="B70" i="4"/>
  <c r="L69" i="4"/>
  <c r="I69" i="4"/>
  <c r="G69" i="4"/>
  <c r="F69" i="4"/>
  <c r="H69" i="4" s="1"/>
  <c r="E69" i="4"/>
  <c r="D69" i="4"/>
  <c r="C69" i="4"/>
  <c r="B69" i="4"/>
  <c r="I68" i="4"/>
  <c r="G68" i="4"/>
  <c r="F68" i="4"/>
  <c r="E68" i="4"/>
  <c r="D68" i="4"/>
  <c r="C68" i="4"/>
  <c r="B68" i="4"/>
  <c r="I67" i="4"/>
  <c r="G67" i="4"/>
  <c r="F67" i="4"/>
  <c r="H67" i="4" s="1"/>
  <c r="E67" i="4"/>
  <c r="D67" i="4"/>
  <c r="C67" i="4"/>
  <c r="B67" i="4"/>
  <c r="I66" i="4"/>
  <c r="G66" i="4"/>
  <c r="F66" i="4"/>
  <c r="E66" i="4"/>
  <c r="D66" i="4"/>
  <c r="C66" i="4"/>
  <c r="B66" i="4"/>
  <c r="I65" i="4"/>
  <c r="G65" i="4"/>
  <c r="F65" i="4"/>
  <c r="E65" i="4"/>
  <c r="D65" i="4"/>
  <c r="C65" i="4"/>
  <c r="B65" i="4"/>
  <c r="J64" i="4"/>
  <c r="I64" i="4"/>
  <c r="G64" i="4"/>
  <c r="F64" i="4"/>
  <c r="E64" i="4"/>
  <c r="D64" i="4"/>
  <c r="C64" i="4"/>
  <c r="B64" i="4"/>
  <c r="L63" i="4"/>
  <c r="J63" i="4"/>
  <c r="I63" i="4"/>
  <c r="G63" i="4"/>
  <c r="F63" i="4"/>
  <c r="H63" i="4" s="1"/>
  <c r="E63" i="4"/>
  <c r="D63" i="4"/>
  <c r="C63" i="4"/>
  <c r="B63" i="4"/>
  <c r="I62" i="4"/>
  <c r="G62" i="4"/>
  <c r="F62" i="4"/>
  <c r="J62" i="4" s="1"/>
  <c r="E62" i="4"/>
  <c r="D62" i="4"/>
  <c r="C62" i="4"/>
  <c r="B62" i="4"/>
  <c r="I61" i="4"/>
  <c r="G61" i="4"/>
  <c r="F61" i="4"/>
  <c r="E61" i="4"/>
  <c r="D61" i="4"/>
  <c r="C61" i="4"/>
  <c r="B61" i="4"/>
  <c r="I60" i="4"/>
  <c r="G60" i="4"/>
  <c r="F60" i="4"/>
  <c r="E60" i="4"/>
  <c r="D60" i="4"/>
  <c r="C60" i="4"/>
  <c r="B60" i="4"/>
  <c r="L59" i="4"/>
  <c r="K59" i="4"/>
  <c r="J59" i="4"/>
  <c r="I59" i="4"/>
  <c r="G59" i="4"/>
  <c r="F59" i="4"/>
  <c r="H59" i="4" s="1"/>
  <c r="E59" i="4"/>
  <c r="D59" i="4"/>
  <c r="C59" i="4"/>
  <c r="B59" i="4"/>
  <c r="I58" i="4"/>
  <c r="G58" i="4"/>
  <c r="F58" i="4"/>
  <c r="L58" i="4" s="1"/>
  <c r="E58" i="4"/>
  <c r="D58" i="4"/>
  <c r="C58" i="4"/>
  <c r="B58" i="4"/>
  <c r="I57" i="4"/>
  <c r="H57" i="4"/>
  <c r="G57" i="4"/>
  <c r="L57" i="4" s="1"/>
  <c r="F57" i="4"/>
  <c r="E57" i="4"/>
  <c r="D57" i="4"/>
  <c r="C57" i="4"/>
  <c r="B57" i="4"/>
  <c r="L56" i="4"/>
  <c r="I56" i="4"/>
  <c r="G56" i="4"/>
  <c r="J56" i="4" s="1"/>
  <c r="F56" i="4"/>
  <c r="E56" i="4"/>
  <c r="D56" i="4"/>
  <c r="C56" i="4"/>
  <c r="B56" i="4"/>
  <c r="I55" i="4"/>
  <c r="G55" i="4"/>
  <c r="F55" i="4"/>
  <c r="E55" i="4"/>
  <c r="H55" i="4" s="1"/>
  <c r="D55" i="4"/>
  <c r="C55" i="4"/>
  <c r="B55" i="4"/>
  <c r="I54" i="4"/>
  <c r="G54" i="4"/>
  <c r="L54" i="4" s="1"/>
  <c r="F54" i="4"/>
  <c r="E54" i="4"/>
  <c r="D54" i="4"/>
  <c r="C54" i="4"/>
  <c r="B54" i="4"/>
  <c r="L53" i="4"/>
  <c r="I53" i="4"/>
  <c r="G53" i="4"/>
  <c r="H53" i="4" s="1"/>
  <c r="F53" i="4"/>
  <c r="J53" i="4" s="1"/>
  <c r="E53" i="4"/>
  <c r="D53" i="4"/>
  <c r="C53" i="4"/>
  <c r="B53" i="4"/>
  <c r="M52" i="4"/>
  <c r="N52" i="4" s="1"/>
  <c r="L52" i="4"/>
  <c r="I52" i="4"/>
  <c r="H52" i="4"/>
  <c r="G52" i="4"/>
  <c r="F52" i="4"/>
  <c r="E52" i="4"/>
  <c r="D52" i="4"/>
  <c r="C52" i="4"/>
  <c r="B52" i="4"/>
  <c r="I51" i="4"/>
  <c r="H51" i="4"/>
  <c r="K51" i="4" s="1"/>
  <c r="G51" i="4"/>
  <c r="F51" i="4"/>
  <c r="J51" i="4" s="1"/>
  <c r="E51" i="4"/>
  <c r="D51" i="4"/>
  <c r="C51" i="4"/>
  <c r="B51" i="4"/>
  <c r="J50" i="4"/>
  <c r="I50" i="4"/>
  <c r="H50" i="4"/>
  <c r="G50" i="4"/>
  <c r="F50" i="4"/>
  <c r="E50" i="4"/>
  <c r="D50" i="4"/>
  <c r="C50" i="4"/>
  <c r="B50" i="4"/>
  <c r="I49" i="4"/>
  <c r="G49" i="4"/>
  <c r="F49" i="4"/>
  <c r="E49" i="4"/>
  <c r="J49" i="4" s="1"/>
  <c r="D49" i="4"/>
  <c r="C49" i="4"/>
  <c r="B49" i="4"/>
  <c r="I48" i="4"/>
  <c r="G48" i="4"/>
  <c r="F48" i="4"/>
  <c r="E48" i="4"/>
  <c r="D48" i="4"/>
  <c r="C48" i="4"/>
  <c r="B48" i="4"/>
  <c r="I47" i="4"/>
  <c r="G47" i="4"/>
  <c r="F47" i="4"/>
  <c r="E47" i="4"/>
  <c r="D47" i="4"/>
  <c r="C47" i="4"/>
  <c r="B47" i="4"/>
  <c r="L46" i="4"/>
  <c r="K46" i="4"/>
  <c r="J46" i="4"/>
  <c r="I46" i="4"/>
  <c r="G46" i="4"/>
  <c r="F46" i="4"/>
  <c r="H46" i="4" s="1"/>
  <c r="E46" i="4"/>
  <c r="D46" i="4"/>
  <c r="C46" i="4"/>
  <c r="B46" i="4"/>
  <c r="I45" i="4"/>
  <c r="G45" i="4"/>
  <c r="J45" i="4" s="1"/>
  <c r="F45" i="4"/>
  <c r="E45" i="4"/>
  <c r="D45" i="4"/>
  <c r="C45" i="4"/>
  <c r="B45" i="4"/>
  <c r="I44" i="4"/>
  <c r="G44" i="4"/>
  <c r="F44" i="4"/>
  <c r="L44" i="4" s="1"/>
  <c r="E44" i="4"/>
  <c r="D44" i="4"/>
  <c r="C44" i="4"/>
  <c r="B44" i="4"/>
  <c r="I43" i="4"/>
  <c r="H43" i="4"/>
  <c r="M43" i="4" s="1"/>
  <c r="N43" i="4" s="1"/>
  <c r="G43" i="4"/>
  <c r="F43" i="4"/>
  <c r="L43" i="4" s="1"/>
  <c r="E43" i="4"/>
  <c r="D43" i="4"/>
  <c r="C43" i="4"/>
  <c r="B43" i="4"/>
  <c r="J42" i="4"/>
  <c r="I42" i="4"/>
  <c r="G42" i="4"/>
  <c r="F42" i="4"/>
  <c r="E42" i="4"/>
  <c r="D42" i="4"/>
  <c r="C42" i="4"/>
  <c r="B42" i="4"/>
  <c r="L41" i="4"/>
  <c r="I41" i="4"/>
  <c r="H41" i="4"/>
  <c r="G41" i="4"/>
  <c r="J41" i="4" s="1"/>
  <c r="F41" i="4"/>
  <c r="E41" i="4"/>
  <c r="D41" i="4"/>
  <c r="C41" i="4"/>
  <c r="B41" i="4"/>
  <c r="I40" i="4"/>
  <c r="H40" i="4"/>
  <c r="K40" i="4" s="1"/>
  <c r="G40" i="4"/>
  <c r="F40" i="4"/>
  <c r="J40" i="4" s="1"/>
  <c r="E40" i="4"/>
  <c r="D40" i="4"/>
  <c r="C40" i="4"/>
  <c r="B40" i="4"/>
  <c r="J39" i="4"/>
  <c r="I39" i="4"/>
  <c r="G39" i="4"/>
  <c r="F39" i="4"/>
  <c r="E39" i="4"/>
  <c r="D39" i="4"/>
  <c r="C39" i="4"/>
  <c r="B39" i="4"/>
  <c r="I38" i="4"/>
  <c r="G38" i="4"/>
  <c r="F38" i="4"/>
  <c r="L38" i="4" s="1"/>
  <c r="E38" i="4"/>
  <c r="D38" i="4"/>
  <c r="C38" i="4"/>
  <c r="B38" i="4"/>
  <c r="I37" i="4"/>
  <c r="H37" i="4"/>
  <c r="G37" i="4"/>
  <c r="L37" i="4" s="1"/>
  <c r="F37" i="4"/>
  <c r="E37" i="4"/>
  <c r="D37" i="4"/>
  <c r="C37" i="4"/>
  <c r="B37" i="4"/>
  <c r="L36" i="4"/>
  <c r="M36" i="4" s="1"/>
  <c r="N36" i="4" s="1"/>
  <c r="J36" i="4"/>
  <c r="I36" i="4"/>
  <c r="H36" i="4"/>
  <c r="G36" i="4"/>
  <c r="F36" i="4"/>
  <c r="E36" i="4"/>
  <c r="D36" i="4"/>
  <c r="C36" i="4"/>
  <c r="B36" i="4"/>
  <c r="I35" i="4"/>
  <c r="G35" i="4"/>
  <c r="F35" i="4"/>
  <c r="J35" i="4" s="1"/>
  <c r="E35" i="4"/>
  <c r="D35" i="4"/>
  <c r="C35" i="4"/>
  <c r="B35" i="4"/>
  <c r="J34" i="4"/>
  <c r="I34" i="4"/>
  <c r="G34" i="4"/>
  <c r="F34" i="4"/>
  <c r="E34" i="4"/>
  <c r="D34" i="4"/>
  <c r="C34" i="4"/>
  <c r="B34" i="4"/>
  <c r="L33" i="4"/>
  <c r="I33" i="4"/>
  <c r="G33" i="4"/>
  <c r="J33" i="4" s="1"/>
  <c r="F33" i="4"/>
  <c r="E33" i="4"/>
  <c r="D33" i="4"/>
  <c r="C33" i="4"/>
  <c r="B33" i="4"/>
  <c r="I32" i="4"/>
  <c r="G32" i="4"/>
  <c r="F32" i="4"/>
  <c r="J32" i="4" s="1"/>
  <c r="E32" i="4"/>
  <c r="D32" i="4"/>
  <c r="C32" i="4"/>
  <c r="B32" i="4"/>
  <c r="J31" i="4"/>
  <c r="I31" i="4"/>
  <c r="G31" i="4"/>
  <c r="F31" i="4"/>
  <c r="E31" i="4"/>
  <c r="D31" i="4"/>
  <c r="C31" i="4"/>
  <c r="B31" i="4"/>
  <c r="J30" i="4"/>
  <c r="I30" i="4"/>
  <c r="G30" i="4"/>
  <c r="H30" i="4" s="1"/>
  <c r="F30" i="4"/>
  <c r="E30" i="4"/>
  <c r="D30" i="4"/>
  <c r="C30" i="4"/>
  <c r="B30" i="4"/>
  <c r="I29" i="4"/>
  <c r="G29" i="4"/>
  <c r="H29" i="4" s="1"/>
  <c r="F29" i="4"/>
  <c r="E29" i="4"/>
  <c r="D29" i="4"/>
  <c r="C29" i="4"/>
  <c r="B29" i="4"/>
  <c r="J28" i="4"/>
  <c r="I28" i="4"/>
  <c r="H28" i="4"/>
  <c r="G28" i="4"/>
  <c r="F28" i="4"/>
  <c r="E28" i="4"/>
  <c r="L28" i="4" s="1"/>
  <c r="D28" i="4"/>
  <c r="C28" i="4"/>
  <c r="B28" i="4"/>
  <c r="I27" i="4"/>
  <c r="G27" i="4"/>
  <c r="J27" i="4" s="1"/>
  <c r="F27" i="4"/>
  <c r="E27" i="4"/>
  <c r="D27" i="4"/>
  <c r="C27" i="4"/>
  <c r="B27" i="4"/>
  <c r="I26" i="4"/>
  <c r="G26" i="4"/>
  <c r="F26" i="4"/>
  <c r="L26" i="4" s="1"/>
  <c r="E26" i="4"/>
  <c r="D26" i="4"/>
  <c r="C26" i="4"/>
  <c r="B26" i="4"/>
  <c r="I25" i="4"/>
  <c r="H25" i="4"/>
  <c r="G25" i="4"/>
  <c r="J25" i="4" s="1"/>
  <c r="F25" i="4"/>
  <c r="E25" i="4"/>
  <c r="D25" i="4"/>
  <c r="C25" i="4"/>
  <c r="B25" i="4"/>
  <c r="L24" i="4"/>
  <c r="I24" i="4"/>
  <c r="G24" i="4"/>
  <c r="H24" i="4" s="1"/>
  <c r="F24" i="4"/>
  <c r="E24" i="4"/>
  <c r="D24" i="4"/>
  <c r="C24" i="4"/>
  <c r="B24" i="4"/>
  <c r="I23" i="4"/>
  <c r="G23" i="4"/>
  <c r="F23" i="4"/>
  <c r="H23" i="4" s="1"/>
  <c r="E23" i="4"/>
  <c r="D23" i="4"/>
  <c r="C23" i="4"/>
  <c r="B23" i="4"/>
  <c r="J22" i="4"/>
  <c r="I22" i="4"/>
  <c r="G22" i="4"/>
  <c r="F22" i="4"/>
  <c r="L22" i="4" s="1"/>
  <c r="E22" i="4"/>
  <c r="D22" i="4"/>
  <c r="C22" i="4"/>
  <c r="B22" i="4"/>
  <c r="I21" i="4"/>
  <c r="G21" i="4"/>
  <c r="F21" i="4"/>
  <c r="L21" i="4" s="1"/>
  <c r="E21" i="4"/>
  <c r="D21" i="4"/>
  <c r="C21" i="4"/>
  <c r="B21" i="4"/>
  <c r="K20" i="4"/>
  <c r="J20" i="4"/>
  <c r="I20" i="4"/>
  <c r="H20" i="4"/>
  <c r="M20" i="4" s="1"/>
  <c r="N20" i="4" s="1"/>
  <c r="G20" i="4"/>
  <c r="F20" i="4"/>
  <c r="E20" i="4"/>
  <c r="L20" i="4" s="1"/>
  <c r="D20" i="4"/>
  <c r="C20" i="4"/>
  <c r="B20" i="4"/>
  <c r="I19" i="4"/>
  <c r="G19" i="4"/>
  <c r="F19" i="4"/>
  <c r="J19" i="4" s="1"/>
  <c r="E19" i="4"/>
  <c r="D19" i="4"/>
  <c r="C19" i="4"/>
  <c r="B19" i="4"/>
  <c r="J18" i="4"/>
  <c r="I18" i="4"/>
  <c r="G18" i="4"/>
  <c r="F18" i="4"/>
  <c r="E18" i="4"/>
  <c r="D18" i="4"/>
  <c r="C18" i="4"/>
  <c r="B18" i="4"/>
  <c r="L17" i="4"/>
  <c r="K17" i="4"/>
  <c r="J17" i="4"/>
  <c r="I17" i="4"/>
  <c r="H17" i="4"/>
  <c r="G17" i="4"/>
  <c r="F17" i="4"/>
  <c r="E17" i="4"/>
  <c r="D17" i="4"/>
  <c r="C17" i="4"/>
  <c r="B17" i="4"/>
  <c r="I16" i="4"/>
  <c r="G16" i="4"/>
  <c r="H16" i="4" s="1"/>
  <c r="F16" i="4"/>
  <c r="E16" i="4"/>
  <c r="D16" i="4"/>
  <c r="C16" i="4"/>
  <c r="B16" i="4"/>
  <c r="L15" i="4"/>
  <c r="M15" i="4" s="1"/>
  <c r="N15" i="4" s="1"/>
  <c r="K15" i="4"/>
  <c r="J15" i="4"/>
  <c r="I15" i="4"/>
  <c r="G15" i="4"/>
  <c r="F15" i="4"/>
  <c r="H15" i="4" s="1"/>
  <c r="E15" i="4"/>
  <c r="D15" i="4"/>
  <c r="C15" i="4"/>
  <c r="B15" i="4"/>
  <c r="I14" i="4"/>
  <c r="G14" i="4"/>
  <c r="F14" i="4"/>
  <c r="L14" i="4" s="1"/>
  <c r="E14" i="4"/>
  <c r="D14" i="4"/>
  <c r="C14" i="4"/>
  <c r="B14" i="4"/>
  <c r="L13" i="4"/>
  <c r="I13" i="4"/>
  <c r="G13" i="4"/>
  <c r="F13" i="4"/>
  <c r="J13" i="4" s="1"/>
  <c r="E13" i="4"/>
  <c r="D13" i="4"/>
  <c r="C13" i="4"/>
  <c r="B13" i="4"/>
  <c r="I12" i="4"/>
  <c r="G12" i="4"/>
  <c r="F12" i="4"/>
  <c r="E12" i="4"/>
  <c r="H12" i="4" s="1"/>
  <c r="D12" i="4"/>
  <c r="C12" i="4"/>
  <c r="B12" i="4"/>
  <c r="J11" i="4"/>
  <c r="I11" i="4"/>
  <c r="H11" i="4"/>
  <c r="G11" i="4"/>
  <c r="F11" i="4"/>
  <c r="E11" i="4"/>
  <c r="D11" i="4"/>
  <c r="C11" i="4"/>
  <c r="B11" i="4"/>
  <c r="I10" i="4"/>
  <c r="G10" i="4"/>
  <c r="F10" i="4"/>
  <c r="L10" i="4" s="1"/>
  <c r="E10" i="4"/>
  <c r="D10" i="4"/>
  <c r="C10" i="4"/>
  <c r="B10" i="4"/>
  <c r="I9" i="4"/>
  <c r="H9" i="4"/>
  <c r="G9" i="4"/>
  <c r="J9" i="4" s="1"/>
  <c r="F9" i="4"/>
  <c r="E9" i="4"/>
  <c r="D9" i="4"/>
  <c r="C9" i="4"/>
  <c r="B9" i="4"/>
  <c r="L8" i="4"/>
  <c r="I8" i="4"/>
  <c r="G8" i="4"/>
  <c r="H8" i="4" s="1"/>
  <c r="F8" i="4"/>
  <c r="E8" i="4"/>
  <c r="D8" i="4"/>
  <c r="C8" i="4"/>
  <c r="B8" i="4"/>
  <c r="I7" i="4"/>
  <c r="G7" i="4"/>
  <c r="F7" i="4"/>
  <c r="H7" i="4" s="1"/>
  <c r="E7" i="4"/>
  <c r="D7" i="4"/>
  <c r="C7" i="4"/>
  <c r="B7" i="4"/>
  <c r="J6" i="4"/>
  <c r="I6" i="4"/>
  <c r="G6" i="4"/>
  <c r="F6" i="4"/>
  <c r="L6" i="4" s="1"/>
  <c r="E6" i="4"/>
  <c r="D6" i="4"/>
  <c r="C6" i="4"/>
  <c r="B6" i="4"/>
  <c r="G43" i="1"/>
  <c r="F43" i="1"/>
  <c r="E43" i="1"/>
  <c r="D43" i="1"/>
  <c r="I43" i="1" s="1"/>
  <c r="C43" i="1"/>
  <c r="G42" i="1"/>
  <c r="F42" i="1"/>
  <c r="E42" i="1"/>
  <c r="D42" i="1"/>
  <c r="I42" i="1" s="1"/>
  <c r="C42" i="1"/>
  <c r="I41" i="1"/>
  <c r="G41" i="1"/>
  <c r="F41" i="1"/>
  <c r="E41" i="1"/>
  <c r="D41" i="1"/>
  <c r="H41" i="1" s="1"/>
  <c r="C41" i="1"/>
  <c r="G40" i="1"/>
  <c r="F40" i="1"/>
  <c r="E40" i="1"/>
  <c r="D40" i="1"/>
  <c r="C40" i="1"/>
  <c r="I40" i="1" s="1"/>
  <c r="H39" i="1"/>
  <c r="G39" i="1"/>
  <c r="I39" i="1" s="1"/>
  <c r="F39" i="1"/>
  <c r="E39" i="1"/>
  <c r="D39" i="1"/>
  <c r="C39" i="1"/>
  <c r="I38" i="1"/>
  <c r="G38" i="1"/>
  <c r="F38" i="1"/>
  <c r="H38" i="1" s="1"/>
  <c r="E38" i="1"/>
  <c r="D38" i="1"/>
  <c r="C38" i="1"/>
  <c r="G37" i="1"/>
  <c r="I37" i="1" s="1"/>
  <c r="F37" i="1"/>
  <c r="E37" i="1"/>
  <c r="D37" i="1"/>
  <c r="C37" i="1"/>
  <c r="H37" i="1" s="1"/>
  <c r="G36" i="1"/>
  <c r="F36" i="1"/>
  <c r="E36" i="1"/>
  <c r="D36" i="1"/>
  <c r="I36" i="1" s="1"/>
  <c r="C36" i="1"/>
  <c r="G35" i="1"/>
  <c r="I35" i="1" s="1"/>
  <c r="F35" i="1"/>
  <c r="E35" i="1"/>
  <c r="D35" i="1"/>
  <c r="H35" i="1" s="1"/>
  <c r="C35" i="1"/>
  <c r="G34" i="1"/>
  <c r="F34" i="1"/>
  <c r="E34" i="1"/>
  <c r="I34" i="1" s="1"/>
  <c r="D34" i="1"/>
  <c r="C34" i="1"/>
  <c r="G33" i="1"/>
  <c r="F33" i="1"/>
  <c r="E33" i="1"/>
  <c r="D33" i="1"/>
  <c r="I33" i="1" s="1"/>
  <c r="C33" i="1"/>
  <c r="G32" i="1"/>
  <c r="F32" i="1"/>
  <c r="E32" i="1"/>
  <c r="D32" i="1"/>
  <c r="H32" i="1" s="1"/>
  <c r="C32" i="1"/>
  <c r="I32" i="1" s="1"/>
  <c r="G31" i="1"/>
  <c r="I31" i="1" s="1"/>
  <c r="F31" i="1"/>
  <c r="E31" i="1"/>
  <c r="H31" i="1" s="1"/>
  <c r="D31" i="1"/>
  <c r="C31" i="1"/>
  <c r="I30" i="1"/>
  <c r="G30" i="1"/>
  <c r="F30" i="1"/>
  <c r="E30" i="1"/>
  <c r="D30" i="1"/>
  <c r="H30" i="1" s="1"/>
  <c r="C30" i="1"/>
  <c r="G29" i="1"/>
  <c r="F29" i="1"/>
  <c r="E29" i="1"/>
  <c r="D29" i="1"/>
  <c r="I29" i="1" s="1"/>
  <c r="C29" i="1"/>
  <c r="G28" i="1"/>
  <c r="F28" i="1"/>
  <c r="E28" i="1"/>
  <c r="H28" i="1" s="1"/>
  <c r="D28" i="1"/>
  <c r="I28" i="1" s="1"/>
  <c r="C28" i="1"/>
  <c r="I27" i="1"/>
  <c r="G27" i="1"/>
  <c r="F27" i="1"/>
  <c r="E27" i="1"/>
  <c r="D27" i="1"/>
  <c r="H27" i="1" s="1"/>
  <c r="C27" i="1"/>
  <c r="G26" i="1"/>
  <c r="F26" i="1"/>
  <c r="E26" i="1"/>
  <c r="H26" i="1" s="1"/>
  <c r="D26" i="1"/>
  <c r="C26" i="1"/>
  <c r="G25" i="1"/>
  <c r="F25" i="1"/>
  <c r="E25" i="1"/>
  <c r="D25" i="1"/>
  <c r="I25" i="1" s="1"/>
  <c r="C25" i="1"/>
  <c r="G24" i="1"/>
  <c r="F24" i="1"/>
  <c r="E24" i="1"/>
  <c r="D24" i="1"/>
  <c r="H24" i="1" s="1"/>
  <c r="C24" i="1"/>
  <c r="I24" i="1" s="1"/>
  <c r="G23" i="1"/>
  <c r="I23" i="1" s="1"/>
  <c r="F23" i="1"/>
  <c r="E23" i="1"/>
  <c r="H23" i="1" s="1"/>
  <c r="D23" i="1"/>
  <c r="C23" i="1"/>
  <c r="H17" i="1"/>
  <c r="F17" i="1"/>
  <c r="D17" i="1"/>
  <c r="B17" i="1"/>
  <c r="M8" i="4" l="1"/>
  <c r="N8" i="4" s="1"/>
  <c r="K16" i="4"/>
  <c r="M29" i="4"/>
  <c r="N29" i="4" s="1"/>
  <c r="K29" i="4"/>
  <c r="K119" i="4"/>
  <c r="K112" i="4"/>
  <c r="M106" i="4"/>
  <c r="N106" i="4" s="1"/>
  <c r="K91" i="4"/>
  <c r="M91" i="4"/>
  <c r="N91" i="4" s="1"/>
  <c r="G44" i="1"/>
  <c r="K57" i="4"/>
  <c r="M24" i="4"/>
  <c r="N24" i="4" s="1"/>
  <c r="K30" i="4"/>
  <c r="M53" i="4"/>
  <c r="N53" i="4" s="1"/>
  <c r="K53" i="4"/>
  <c r="H34" i="1"/>
  <c r="H25" i="1"/>
  <c r="H44" i="1" s="1"/>
  <c r="I26" i="1"/>
  <c r="I44" i="1" s="1"/>
  <c r="H33" i="1"/>
  <c r="H40" i="1"/>
  <c r="L7" i="4"/>
  <c r="L9" i="4"/>
  <c r="M9" i="4" s="1"/>
  <c r="N9" i="4" s="1"/>
  <c r="J10" i="4"/>
  <c r="J12" i="4"/>
  <c r="K12" i="4" s="1"/>
  <c r="J14" i="4"/>
  <c r="M17" i="4"/>
  <c r="N17" i="4" s="1"/>
  <c r="L23" i="4"/>
  <c r="M37" i="4"/>
  <c r="N37" i="4" s="1"/>
  <c r="H39" i="4"/>
  <c r="L39" i="4"/>
  <c r="M40" i="4"/>
  <c r="N40" i="4" s="1"/>
  <c r="M41" i="4"/>
  <c r="N41" i="4" s="1"/>
  <c r="L42" i="4"/>
  <c r="H42" i="4"/>
  <c r="M46" i="4"/>
  <c r="N46" i="4" s="1"/>
  <c r="M57" i="4"/>
  <c r="N57" i="4" s="1"/>
  <c r="L73" i="4"/>
  <c r="M73" i="4" s="1"/>
  <c r="N73" i="4" s="1"/>
  <c r="H75" i="4"/>
  <c r="L114" i="4"/>
  <c r="H114" i="4"/>
  <c r="J114" i="4"/>
  <c r="J120" i="4"/>
  <c r="L120" i="4"/>
  <c r="K125" i="4"/>
  <c r="M125" i="4"/>
  <c r="N125" i="4" s="1"/>
  <c r="M127" i="4"/>
  <c r="N127" i="4" s="1"/>
  <c r="M131" i="4"/>
  <c r="N131" i="4" s="1"/>
  <c r="K131" i="4"/>
  <c r="H156" i="4"/>
  <c r="L156" i="4"/>
  <c r="J156" i="4"/>
  <c r="H158" i="4"/>
  <c r="L158" i="4"/>
  <c r="L183" i="4"/>
  <c r="J183" i="4"/>
  <c r="H183" i="4"/>
  <c r="H190" i="4"/>
  <c r="L190" i="4"/>
  <c r="M7" i="4"/>
  <c r="N7" i="4" s="1"/>
  <c r="L11" i="4"/>
  <c r="M11" i="4" s="1"/>
  <c r="N11" i="4" s="1"/>
  <c r="H18" i="4"/>
  <c r="M23" i="4"/>
  <c r="N23" i="4" s="1"/>
  <c r="L29" i="4"/>
  <c r="L32" i="4"/>
  <c r="K36" i="4"/>
  <c r="J38" i="4"/>
  <c r="L55" i="4"/>
  <c r="M55" i="4" s="1"/>
  <c r="N55" i="4" s="1"/>
  <c r="J58" i="4"/>
  <c r="L67" i="4"/>
  <c r="H71" i="4"/>
  <c r="J71" i="4"/>
  <c r="L85" i="4"/>
  <c r="H85" i="4"/>
  <c r="H101" i="4"/>
  <c r="L101" i="4"/>
  <c r="J108" i="4"/>
  <c r="H108" i="4"/>
  <c r="M182" i="4"/>
  <c r="N182" i="4" s="1"/>
  <c r="K182" i="4"/>
  <c r="J185" i="4"/>
  <c r="H185" i="4"/>
  <c r="L185" i="4"/>
  <c r="H29" i="1"/>
  <c r="H6" i="4"/>
  <c r="L12" i="4"/>
  <c r="M12" i="4" s="1"/>
  <c r="N12" i="4" s="1"/>
  <c r="H13" i="4"/>
  <c r="H22" i="4"/>
  <c r="H31" i="4"/>
  <c r="L31" i="4"/>
  <c r="H33" i="4"/>
  <c r="H34" i="4"/>
  <c r="J37" i="4"/>
  <c r="K37" i="4" s="1"/>
  <c r="K41" i="4"/>
  <c r="K50" i="4"/>
  <c r="H56" i="4"/>
  <c r="J57" i="4"/>
  <c r="J60" i="4"/>
  <c r="L60" i="4"/>
  <c r="H60" i="4"/>
  <c r="L64" i="4"/>
  <c r="H64" i="4"/>
  <c r="J65" i="4"/>
  <c r="H65" i="4"/>
  <c r="H102" i="4"/>
  <c r="L102" i="4"/>
  <c r="J102" i="4"/>
  <c r="K121" i="4"/>
  <c r="K127" i="4"/>
  <c r="L135" i="4"/>
  <c r="J135" i="4"/>
  <c r="H135" i="4"/>
  <c r="M154" i="4"/>
  <c r="N154" i="4" s="1"/>
  <c r="K154" i="4"/>
  <c r="J155" i="4"/>
  <c r="L155" i="4"/>
  <c r="M195" i="4"/>
  <c r="N195" i="4" s="1"/>
  <c r="K195" i="4"/>
  <c r="J205" i="4"/>
  <c r="H205" i="4"/>
  <c r="K11" i="4"/>
  <c r="J16" i="4"/>
  <c r="K28" i="4"/>
  <c r="L47" i="4"/>
  <c r="H47" i="4"/>
  <c r="H48" i="4"/>
  <c r="L48" i="4"/>
  <c r="H61" i="4"/>
  <c r="L61" i="4"/>
  <c r="L72" i="4"/>
  <c r="J72" i="4"/>
  <c r="K76" i="4"/>
  <c r="K95" i="4"/>
  <c r="M115" i="4"/>
  <c r="N115" i="4" s="1"/>
  <c r="K115" i="4"/>
  <c r="J116" i="4"/>
  <c r="H116" i="4"/>
  <c r="K157" i="4"/>
  <c r="M159" i="4"/>
  <c r="N159" i="4" s="1"/>
  <c r="K159" i="4"/>
  <c r="L167" i="4"/>
  <c r="J167" i="4"/>
  <c r="H167" i="4"/>
  <c r="J169" i="4"/>
  <c r="H169" i="4"/>
  <c r="H172" i="4"/>
  <c r="L172" i="4"/>
  <c r="J172" i="4"/>
  <c r="M186" i="4"/>
  <c r="N186" i="4" s="1"/>
  <c r="K186" i="4"/>
  <c r="J187" i="4"/>
  <c r="L187" i="4"/>
  <c r="J201" i="4"/>
  <c r="H201" i="4"/>
  <c r="L201" i="4"/>
  <c r="H36" i="1"/>
  <c r="J21" i="4"/>
  <c r="M25" i="4"/>
  <c r="N25" i="4" s="1"/>
  <c r="H26" i="4"/>
  <c r="J29" i="4"/>
  <c r="L66" i="4"/>
  <c r="H66" i="4"/>
  <c r="M67" i="4"/>
  <c r="N67" i="4" s="1"/>
  <c r="H72" i="4"/>
  <c r="H78" i="4"/>
  <c r="J78" i="4"/>
  <c r="L82" i="4"/>
  <c r="H82" i="4"/>
  <c r="J82" i="4"/>
  <c r="K90" i="4"/>
  <c r="J97" i="4"/>
  <c r="H97" i="4"/>
  <c r="J101" i="4"/>
  <c r="L108" i="4"/>
  <c r="H109" i="4"/>
  <c r="H122" i="4"/>
  <c r="H194" i="4"/>
  <c r="L194" i="4"/>
  <c r="L214" i="4"/>
  <c r="H214" i="4"/>
  <c r="D44" i="1"/>
  <c r="H43" i="1"/>
  <c r="H10" i="4"/>
  <c r="L19" i="4"/>
  <c r="L35" i="4"/>
  <c r="H35" i="4"/>
  <c r="J44" i="4"/>
  <c r="H44" i="4"/>
  <c r="J55" i="4"/>
  <c r="K55" i="4" s="1"/>
  <c r="H62" i="4"/>
  <c r="L62" i="4"/>
  <c r="M76" i="4"/>
  <c r="N76" i="4" s="1"/>
  <c r="M77" i="4"/>
  <c r="N77" i="4" s="1"/>
  <c r="K77" i="4"/>
  <c r="H87" i="4"/>
  <c r="H88" i="4"/>
  <c r="L89" i="4"/>
  <c r="H89" i="4"/>
  <c r="M95" i="4"/>
  <c r="N95" i="4" s="1"/>
  <c r="M96" i="4"/>
  <c r="N96" i="4" s="1"/>
  <c r="K96" i="4"/>
  <c r="H118" i="4"/>
  <c r="J123" i="4"/>
  <c r="L123" i="4"/>
  <c r="H126" i="4"/>
  <c r="L126" i="4"/>
  <c r="L139" i="4"/>
  <c r="M139" i="4" s="1"/>
  <c r="N139" i="4" s="1"/>
  <c r="J139" i="4"/>
  <c r="K139" i="4" s="1"/>
  <c r="K141" i="4"/>
  <c r="L144" i="4"/>
  <c r="H144" i="4"/>
  <c r="J144" i="4"/>
  <c r="K166" i="4"/>
  <c r="L171" i="4"/>
  <c r="J171" i="4"/>
  <c r="K173" i="4"/>
  <c r="L176" i="4"/>
  <c r="H176" i="4"/>
  <c r="J176" i="4"/>
  <c r="L208" i="4"/>
  <c r="H208" i="4"/>
  <c r="J208" i="4"/>
  <c r="H213" i="4"/>
  <c r="J213" i="4"/>
  <c r="L224" i="4"/>
  <c r="H224" i="4"/>
  <c r="J224" i="4"/>
  <c r="H42" i="1"/>
  <c r="J7" i="4"/>
  <c r="K7" i="4" s="1"/>
  <c r="H14" i="4"/>
  <c r="L18" i="4"/>
  <c r="H21" i="4"/>
  <c r="J23" i="4"/>
  <c r="K23" i="4" s="1"/>
  <c r="K25" i="4"/>
  <c r="J43" i="4"/>
  <c r="K43" i="4" s="1"/>
  <c r="J47" i="4"/>
  <c r="L49" i="4"/>
  <c r="H49" i="4"/>
  <c r="J54" i="4"/>
  <c r="J61" i="4"/>
  <c r="L65" i="4"/>
  <c r="J73" i="4"/>
  <c r="K73" i="4" s="1"/>
  <c r="L74" i="4"/>
  <c r="J74" i="4"/>
  <c r="H74" i="4"/>
  <c r="L98" i="4"/>
  <c r="H98" i="4"/>
  <c r="J103" i="4"/>
  <c r="L104" i="4"/>
  <c r="H104" i="4"/>
  <c r="J109" i="4"/>
  <c r="L116" i="4"/>
  <c r="H117" i="4"/>
  <c r="H138" i="4"/>
  <c r="K149" i="4"/>
  <c r="J150" i="4"/>
  <c r="H150" i="4"/>
  <c r="L169" i="4"/>
  <c r="H170" i="4"/>
  <c r="M202" i="4"/>
  <c r="N202" i="4" s="1"/>
  <c r="C44" i="1"/>
  <c r="F44" i="1" s="1"/>
  <c r="J8" i="4"/>
  <c r="K8" i="4" s="1"/>
  <c r="K9" i="4"/>
  <c r="L16" i="4"/>
  <c r="M16" i="4" s="1"/>
  <c r="N16" i="4" s="1"/>
  <c r="H19" i="4"/>
  <c r="J24" i="4"/>
  <c r="K24" i="4" s="1"/>
  <c r="L25" i="4"/>
  <c r="J26" i="4"/>
  <c r="L27" i="4"/>
  <c r="H27" i="4"/>
  <c r="M28" i="4"/>
  <c r="N28" i="4" s="1"/>
  <c r="L30" i="4"/>
  <c r="M30" i="4" s="1"/>
  <c r="N30" i="4" s="1"/>
  <c r="H32" i="4"/>
  <c r="L34" i="4"/>
  <c r="H38" i="4"/>
  <c r="L40" i="4"/>
  <c r="L45" i="4"/>
  <c r="H45" i="4"/>
  <c r="J48" i="4"/>
  <c r="L51" i="4"/>
  <c r="M51" i="4" s="1"/>
  <c r="N51" i="4" s="1"/>
  <c r="H58" i="4"/>
  <c r="M59" i="4"/>
  <c r="N59" i="4" s="1"/>
  <c r="K63" i="4"/>
  <c r="M63" i="4"/>
  <c r="N63" i="4" s="1"/>
  <c r="J66" i="4"/>
  <c r="J67" i="4"/>
  <c r="K67" i="4" s="1"/>
  <c r="J68" i="4"/>
  <c r="L68" i="4"/>
  <c r="H68" i="4"/>
  <c r="L78" i="4"/>
  <c r="J88" i="4"/>
  <c r="J93" i="4"/>
  <c r="L93" i="4"/>
  <c r="H93" i="4"/>
  <c r="L107" i="4"/>
  <c r="H107" i="4"/>
  <c r="J112" i="4"/>
  <c r="L112" i="4"/>
  <c r="M112" i="4" s="1"/>
  <c r="N112" i="4" s="1"/>
  <c r="L119" i="4"/>
  <c r="M119" i="4" s="1"/>
  <c r="N119" i="4" s="1"/>
  <c r="H123" i="4"/>
  <c r="L128" i="4"/>
  <c r="H128" i="4"/>
  <c r="J128" i="4"/>
  <c r="K221" i="4"/>
  <c r="M223" i="4"/>
  <c r="N223" i="4" s="1"/>
  <c r="M69" i="4"/>
  <c r="N69" i="4" s="1"/>
  <c r="J80" i="4"/>
  <c r="K80" i="4" s="1"/>
  <c r="H86" i="4"/>
  <c r="J91" i="4"/>
  <c r="H99" i="4"/>
  <c r="H105" i="4"/>
  <c r="H110" i="4"/>
  <c r="J110" i="4"/>
  <c r="L117" i="4"/>
  <c r="H120" i="4"/>
  <c r="M130" i="4"/>
  <c r="N130" i="4" s="1"/>
  <c r="K130" i="4"/>
  <c r="L160" i="4"/>
  <c r="H160" i="4"/>
  <c r="H171" i="4"/>
  <c r="H188" i="4"/>
  <c r="L188" i="4"/>
  <c r="L199" i="4"/>
  <c r="J199" i="4"/>
  <c r="H199" i="4"/>
  <c r="J226" i="4"/>
  <c r="K226" i="4" s="1"/>
  <c r="L215" i="4"/>
  <c r="J215" i="4"/>
  <c r="H215" i="4"/>
  <c r="M226" i="4"/>
  <c r="N226" i="4" s="1"/>
  <c r="M198" i="4"/>
  <c r="N198" i="4" s="1"/>
  <c r="K198" i="4"/>
  <c r="H204" i="4"/>
  <c r="L204" i="4"/>
  <c r="J204" i="4"/>
  <c r="J217" i="4"/>
  <c r="H217" i="4"/>
  <c r="L217" i="4"/>
  <c r="L50" i="4"/>
  <c r="M50" i="4" s="1"/>
  <c r="N50" i="4" s="1"/>
  <c r="J69" i="4"/>
  <c r="H70" i="4"/>
  <c r="L70" i="4"/>
  <c r="J84" i="4"/>
  <c r="H84" i="4"/>
  <c r="J86" i="4"/>
  <c r="J99" i="4"/>
  <c r="H103" i="4"/>
  <c r="J105" i="4"/>
  <c r="L110" i="4"/>
  <c r="K113" i="4"/>
  <c r="J126" i="4"/>
  <c r="J137" i="4"/>
  <c r="H137" i="4"/>
  <c r="L151" i="4"/>
  <c r="J151" i="4"/>
  <c r="H151" i="4"/>
  <c r="J160" i="4"/>
  <c r="M162" i="4"/>
  <c r="N162" i="4" s="1"/>
  <c r="K162" i="4"/>
  <c r="J188" i="4"/>
  <c r="J190" i="4"/>
  <c r="L192" i="4"/>
  <c r="H192" i="4"/>
  <c r="H220" i="4"/>
  <c r="L220" i="4"/>
  <c r="L226" i="4"/>
  <c r="L232" i="4"/>
  <c r="H232" i="4"/>
  <c r="J232" i="4"/>
  <c r="J52" i="4"/>
  <c r="K52" i="4" s="1"/>
  <c r="H54" i="4"/>
  <c r="K69" i="4"/>
  <c r="J76" i="4"/>
  <c r="L80" i="4"/>
  <c r="M80" i="4" s="1"/>
  <c r="N80" i="4" s="1"/>
  <c r="M81" i="4"/>
  <c r="N81" i="4" s="1"/>
  <c r="J83" i="4"/>
  <c r="K83" i="4" s="1"/>
  <c r="L87" i="4"/>
  <c r="L91" i="4"/>
  <c r="J95" i="4"/>
  <c r="J100" i="4"/>
  <c r="K100" i="4" s="1"/>
  <c r="L100" i="4"/>
  <c r="M100" i="4" s="1"/>
  <c r="N100" i="4" s="1"/>
  <c r="L106" i="4"/>
  <c r="J106" i="4"/>
  <c r="K106" i="4" s="1"/>
  <c r="K111" i="4"/>
  <c r="L113" i="4"/>
  <c r="M113" i="4" s="1"/>
  <c r="N113" i="4" s="1"/>
  <c r="M134" i="4"/>
  <c r="N134" i="4" s="1"/>
  <c r="K134" i="4"/>
  <c r="H140" i="4"/>
  <c r="L140" i="4"/>
  <c r="J140" i="4"/>
  <c r="J153" i="4"/>
  <c r="H153" i="4"/>
  <c r="L153" i="4"/>
  <c r="K181" i="4"/>
  <c r="M181" i="4"/>
  <c r="N181" i="4" s="1"/>
  <c r="K189" i="4"/>
  <c r="M189" i="4"/>
  <c r="N189" i="4" s="1"/>
  <c r="M191" i="4"/>
  <c r="N191" i="4" s="1"/>
  <c r="K191" i="4"/>
  <c r="H203" i="4"/>
  <c r="L203" i="4"/>
  <c r="J203" i="4"/>
  <c r="M218" i="4"/>
  <c r="N218" i="4" s="1"/>
  <c r="K218" i="4"/>
  <c r="H222" i="4"/>
  <c r="L222" i="4"/>
  <c r="H147" i="4"/>
  <c r="H179" i="4"/>
  <c r="H211" i="4"/>
  <c r="K229" i="4"/>
  <c r="M229" i="4"/>
  <c r="N229" i="4" s="1"/>
  <c r="J129" i="4"/>
  <c r="H129" i="4"/>
  <c r="K133" i="4"/>
  <c r="J138" i="4"/>
  <c r="M142" i="4"/>
  <c r="N142" i="4" s="1"/>
  <c r="L143" i="4"/>
  <c r="M143" i="4" s="1"/>
  <c r="N143" i="4" s="1"/>
  <c r="J143" i="4"/>
  <c r="K143" i="4" s="1"/>
  <c r="M146" i="4"/>
  <c r="N146" i="4" s="1"/>
  <c r="K146" i="4"/>
  <c r="H148" i="4"/>
  <c r="L148" i="4"/>
  <c r="L152" i="4"/>
  <c r="H152" i="4"/>
  <c r="J161" i="4"/>
  <c r="H161" i="4"/>
  <c r="K165" i="4"/>
  <c r="J170" i="4"/>
  <c r="M174" i="4"/>
  <c r="N174" i="4" s="1"/>
  <c r="L175" i="4"/>
  <c r="M175" i="4" s="1"/>
  <c r="N175" i="4" s="1"/>
  <c r="J175" i="4"/>
  <c r="K175" i="4" s="1"/>
  <c r="M178" i="4"/>
  <c r="N178" i="4" s="1"/>
  <c r="K178" i="4"/>
  <c r="H180" i="4"/>
  <c r="L180" i="4"/>
  <c r="L184" i="4"/>
  <c r="H184" i="4"/>
  <c r="J193" i="4"/>
  <c r="H193" i="4"/>
  <c r="K197" i="4"/>
  <c r="J202" i="4"/>
  <c r="K202" i="4" s="1"/>
  <c r="M206" i="4"/>
  <c r="N206" i="4" s="1"/>
  <c r="L207" i="4"/>
  <c r="M207" i="4" s="1"/>
  <c r="N207" i="4" s="1"/>
  <c r="J207" i="4"/>
  <c r="K207" i="4" s="1"/>
  <c r="M210" i="4"/>
  <c r="N210" i="4" s="1"/>
  <c r="K210" i="4"/>
  <c r="H212" i="4"/>
  <c r="L212" i="4"/>
  <c r="L216" i="4"/>
  <c r="H216" i="4"/>
  <c r="J225" i="4"/>
  <c r="H225" i="4"/>
  <c r="M230" i="4"/>
  <c r="N230" i="4" s="1"/>
  <c r="L90" i="4"/>
  <c r="M90" i="4" s="1"/>
  <c r="N90" i="4" s="1"/>
  <c r="L122" i="4"/>
  <c r="L127" i="4"/>
  <c r="J127" i="4"/>
  <c r="H132" i="4"/>
  <c r="L132" i="4"/>
  <c r="L136" i="4"/>
  <c r="H136" i="4"/>
  <c r="J145" i="4"/>
  <c r="H145" i="4"/>
  <c r="L159" i="4"/>
  <c r="J159" i="4"/>
  <c r="M163" i="4"/>
  <c r="N163" i="4" s="1"/>
  <c r="K163" i="4"/>
  <c r="H164" i="4"/>
  <c r="L164" i="4"/>
  <c r="L168" i="4"/>
  <c r="H168" i="4"/>
  <c r="J177" i="4"/>
  <c r="H177" i="4"/>
  <c r="L191" i="4"/>
  <c r="J191" i="4"/>
  <c r="H196" i="4"/>
  <c r="L196" i="4"/>
  <c r="L200" i="4"/>
  <c r="H200" i="4"/>
  <c r="J209" i="4"/>
  <c r="H209" i="4"/>
  <c r="J214" i="4"/>
  <c r="L223" i="4"/>
  <c r="J223" i="4"/>
  <c r="K223" i="4" s="1"/>
  <c r="H228" i="4"/>
  <c r="L228" i="4"/>
  <c r="J228" i="4"/>
  <c r="J92" i="4"/>
  <c r="K92" i="4" s="1"/>
  <c r="H94" i="4"/>
  <c r="L124" i="4"/>
  <c r="M124" i="4" s="1"/>
  <c r="N124" i="4" s="1"/>
  <c r="J124" i="4"/>
  <c r="K124" i="4" s="1"/>
  <c r="L141" i="4"/>
  <c r="M141" i="4" s="1"/>
  <c r="N141" i="4" s="1"/>
  <c r="H155" i="4"/>
  <c r="L166" i="4"/>
  <c r="M166" i="4" s="1"/>
  <c r="N166" i="4" s="1"/>
  <c r="H187" i="4"/>
  <c r="H219" i="4"/>
  <c r="J234" i="4"/>
  <c r="H234" i="4"/>
  <c r="L125" i="4"/>
  <c r="L133" i="4"/>
  <c r="M133" i="4" s="1"/>
  <c r="N133" i="4" s="1"/>
  <c r="L149" i="4"/>
  <c r="M149" i="4" s="1"/>
  <c r="N149" i="4" s="1"/>
  <c r="L157" i="4"/>
  <c r="M157" i="4" s="1"/>
  <c r="N157" i="4" s="1"/>
  <c r="L165" i="4"/>
  <c r="M165" i="4" s="1"/>
  <c r="N165" i="4" s="1"/>
  <c r="L173" i="4"/>
  <c r="M173" i="4" s="1"/>
  <c r="N173" i="4" s="1"/>
  <c r="L181" i="4"/>
  <c r="L189" i="4"/>
  <c r="L197" i="4"/>
  <c r="M197" i="4" s="1"/>
  <c r="N197" i="4" s="1"/>
  <c r="L205" i="4"/>
  <c r="L213" i="4"/>
  <c r="L221" i="4"/>
  <c r="M221" i="4" s="1"/>
  <c r="N221" i="4" s="1"/>
  <c r="K227" i="4"/>
  <c r="L229" i="4"/>
  <c r="J233" i="4"/>
  <c r="H233" i="4"/>
  <c r="M235" i="4"/>
  <c r="N235" i="4" s="1"/>
  <c r="K235" i="4"/>
  <c r="L231" i="4"/>
  <c r="M231" i="4" s="1"/>
  <c r="N231" i="4" s="1"/>
  <c r="J231" i="4"/>
  <c r="K231" i="4" s="1"/>
  <c r="J236" i="4"/>
  <c r="H236" i="4"/>
  <c r="H237" i="4"/>
  <c r="J237" i="4"/>
  <c r="M187" i="4" l="1"/>
  <c r="N187" i="4" s="1"/>
  <c r="K187" i="4"/>
  <c r="K145" i="4"/>
  <c r="M145" i="4"/>
  <c r="N145" i="4" s="1"/>
  <c r="M168" i="4"/>
  <c r="N168" i="4" s="1"/>
  <c r="K168" i="4"/>
  <c r="K137" i="4"/>
  <c r="M137" i="4"/>
  <c r="N137" i="4" s="1"/>
  <c r="K217" i="4"/>
  <c r="M217" i="4"/>
  <c r="N217" i="4" s="1"/>
  <c r="M208" i="4"/>
  <c r="N208" i="4" s="1"/>
  <c r="K208" i="4"/>
  <c r="M13" i="4"/>
  <c r="N13" i="4" s="1"/>
  <c r="K13" i="4"/>
  <c r="M42" i="4"/>
  <c r="N42" i="4" s="1"/>
  <c r="K42" i="4"/>
  <c r="M93" i="4"/>
  <c r="N93" i="4" s="1"/>
  <c r="K93" i="4"/>
  <c r="M150" i="4"/>
  <c r="N150" i="4" s="1"/>
  <c r="K150" i="4"/>
  <c r="K64" i="4"/>
  <c r="M64" i="4"/>
  <c r="N64" i="4" s="1"/>
  <c r="K108" i="4"/>
  <c r="M108" i="4"/>
  <c r="N108" i="4" s="1"/>
  <c r="M18" i="4"/>
  <c r="N18" i="4" s="1"/>
  <c r="K18" i="4"/>
  <c r="M155" i="4"/>
  <c r="N155" i="4" s="1"/>
  <c r="K155" i="4"/>
  <c r="K228" i="4"/>
  <c r="M228" i="4"/>
  <c r="N228" i="4" s="1"/>
  <c r="M136" i="4"/>
  <c r="N136" i="4" s="1"/>
  <c r="K136" i="4"/>
  <c r="M184" i="4"/>
  <c r="N184" i="4" s="1"/>
  <c r="K184" i="4"/>
  <c r="K148" i="4"/>
  <c r="M148" i="4"/>
  <c r="N148" i="4" s="1"/>
  <c r="K129" i="4"/>
  <c r="M129" i="4"/>
  <c r="N129" i="4" s="1"/>
  <c r="M222" i="4"/>
  <c r="N222" i="4" s="1"/>
  <c r="K222" i="4"/>
  <c r="M171" i="4"/>
  <c r="N171" i="4" s="1"/>
  <c r="K171" i="4"/>
  <c r="M45" i="4"/>
  <c r="N45" i="4" s="1"/>
  <c r="K45" i="4"/>
  <c r="K104" i="4"/>
  <c r="M104" i="4"/>
  <c r="N104" i="4" s="1"/>
  <c r="K89" i="4"/>
  <c r="M89" i="4"/>
  <c r="N89" i="4" s="1"/>
  <c r="M62" i="4"/>
  <c r="N62" i="4" s="1"/>
  <c r="K62" i="4"/>
  <c r="K201" i="4"/>
  <c r="M201" i="4"/>
  <c r="N201" i="4" s="1"/>
  <c r="K172" i="4"/>
  <c r="M172" i="4"/>
  <c r="N172" i="4" s="1"/>
  <c r="M6" i="4"/>
  <c r="N6" i="4" s="1"/>
  <c r="K6" i="4"/>
  <c r="M75" i="4"/>
  <c r="N75" i="4" s="1"/>
  <c r="K75" i="4"/>
  <c r="K114" i="4"/>
  <c r="M114" i="4"/>
  <c r="N114" i="4" s="1"/>
  <c r="K153" i="4"/>
  <c r="M153" i="4"/>
  <c r="N153" i="4" s="1"/>
  <c r="K82" i="4"/>
  <c r="M82" i="4"/>
  <c r="N82" i="4" s="1"/>
  <c r="M144" i="4"/>
  <c r="N144" i="4" s="1"/>
  <c r="K144" i="4"/>
  <c r="K116" i="4"/>
  <c r="M116" i="4"/>
  <c r="N116" i="4" s="1"/>
  <c r="M33" i="4"/>
  <c r="N33" i="4" s="1"/>
  <c r="K33" i="4"/>
  <c r="M101" i="4"/>
  <c r="N101" i="4" s="1"/>
  <c r="K101" i="4"/>
  <c r="M158" i="4"/>
  <c r="N158" i="4" s="1"/>
  <c r="K158" i="4"/>
  <c r="M232" i="4"/>
  <c r="N232" i="4" s="1"/>
  <c r="K232" i="4"/>
  <c r="M84" i="4"/>
  <c r="N84" i="4" s="1"/>
  <c r="K84" i="4"/>
  <c r="M215" i="4"/>
  <c r="N215" i="4" s="1"/>
  <c r="K215" i="4"/>
  <c r="M128" i="4"/>
  <c r="N128" i="4" s="1"/>
  <c r="K128" i="4"/>
  <c r="K47" i="4"/>
  <c r="M47" i="4"/>
  <c r="N47" i="4" s="1"/>
  <c r="K196" i="4"/>
  <c r="M196" i="4"/>
  <c r="N196" i="4" s="1"/>
  <c r="M160" i="4"/>
  <c r="N160" i="4" s="1"/>
  <c r="K160" i="4"/>
  <c r="K27" i="4"/>
  <c r="M27" i="4"/>
  <c r="N27" i="4" s="1"/>
  <c r="M176" i="4"/>
  <c r="N176" i="4" s="1"/>
  <c r="K176" i="4"/>
  <c r="M126" i="4"/>
  <c r="N126" i="4" s="1"/>
  <c r="K126" i="4"/>
  <c r="K122" i="4"/>
  <c r="M122" i="4"/>
  <c r="N122" i="4" s="1"/>
  <c r="M34" i="4"/>
  <c r="N34" i="4" s="1"/>
  <c r="K34" i="4"/>
  <c r="M70" i="4"/>
  <c r="N70" i="4" s="1"/>
  <c r="K70" i="4"/>
  <c r="M88" i="4"/>
  <c r="N88" i="4" s="1"/>
  <c r="K88" i="4"/>
  <c r="M44" i="4"/>
  <c r="N44" i="4" s="1"/>
  <c r="K44" i="4"/>
  <c r="M26" i="4"/>
  <c r="N26" i="4" s="1"/>
  <c r="K26" i="4"/>
  <c r="K180" i="4"/>
  <c r="M180" i="4"/>
  <c r="N180" i="4" s="1"/>
  <c r="K140" i="4"/>
  <c r="M140" i="4"/>
  <c r="N140" i="4" s="1"/>
  <c r="K220" i="4"/>
  <c r="M220" i="4"/>
  <c r="N220" i="4" s="1"/>
  <c r="M151" i="4"/>
  <c r="N151" i="4" s="1"/>
  <c r="K151" i="4"/>
  <c r="M199" i="4"/>
  <c r="N199" i="4" s="1"/>
  <c r="K199" i="4"/>
  <c r="K99" i="4"/>
  <c r="M99" i="4"/>
  <c r="N99" i="4" s="1"/>
  <c r="M138" i="4"/>
  <c r="N138" i="4" s="1"/>
  <c r="K138" i="4"/>
  <c r="M98" i="4"/>
  <c r="N98" i="4" s="1"/>
  <c r="K98" i="4"/>
  <c r="K87" i="4"/>
  <c r="M87" i="4"/>
  <c r="N87" i="4" s="1"/>
  <c r="M214" i="4"/>
  <c r="N214" i="4" s="1"/>
  <c r="K214" i="4"/>
  <c r="M167" i="4"/>
  <c r="N167" i="4" s="1"/>
  <c r="K167" i="4"/>
  <c r="M102" i="4"/>
  <c r="N102" i="4" s="1"/>
  <c r="K102" i="4"/>
  <c r="K185" i="4"/>
  <c r="M185" i="4"/>
  <c r="N185" i="4" s="1"/>
  <c r="M85" i="4"/>
  <c r="N85" i="4" s="1"/>
  <c r="K85" i="4"/>
  <c r="M39" i="4"/>
  <c r="N39" i="4" s="1"/>
  <c r="K39" i="4"/>
  <c r="K212" i="4"/>
  <c r="M212" i="4"/>
  <c r="N212" i="4" s="1"/>
  <c r="K19" i="4"/>
  <c r="M19" i="4"/>
  <c r="N19" i="4" s="1"/>
  <c r="M194" i="4"/>
  <c r="N194" i="4" s="1"/>
  <c r="K194" i="4"/>
  <c r="K204" i="4"/>
  <c r="M204" i="4"/>
  <c r="N204" i="4" s="1"/>
  <c r="K105" i="4"/>
  <c r="M105" i="4"/>
  <c r="N105" i="4" s="1"/>
  <c r="E44" i="1"/>
  <c r="M234" i="4"/>
  <c r="N234" i="4" s="1"/>
  <c r="K234" i="4"/>
  <c r="M216" i="4"/>
  <c r="N216" i="4" s="1"/>
  <c r="K216" i="4"/>
  <c r="M237" i="4"/>
  <c r="N237" i="4" s="1"/>
  <c r="K237" i="4"/>
  <c r="M94" i="4"/>
  <c r="N94" i="4" s="1"/>
  <c r="K94" i="4"/>
  <c r="K209" i="4"/>
  <c r="M209" i="4"/>
  <c r="N209" i="4" s="1"/>
  <c r="K177" i="4"/>
  <c r="M177" i="4"/>
  <c r="N177" i="4" s="1"/>
  <c r="M211" i="4"/>
  <c r="N211" i="4" s="1"/>
  <c r="K211" i="4"/>
  <c r="K54" i="4"/>
  <c r="M54" i="4"/>
  <c r="N54" i="4" s="1"/>
  <c r="M192" i="4"/>
  <c r="N192" i="4" s="1"/>
  <c r="K192" i="4"/>
  <c r="K103" i="4"/>
  <c r="M103" i="4"/>
  <c r="N103" i="4" s="1"/>
  <c r="M38" i="4"/>
  <c r="N38" i="4" s="1"/>
  <c r="K38" i="4"/>
  <c r="K49" i="4"/>
  <c r="M49" i="4"/>
  <c r="N49" i="4" s="1"/>
  <c r="M14" i="4"/>
  <c r="N14" i="4" s="1"/>
  <c r="K14" i="4"/>
  <c r="K213" i="4"/>
  <c r="M213" i="4"/>
  <c r="N213" i="4" s="1"/>
  <c r="K118" i="4"/>
  <c r="M118" i="4"/>
  <c r="N118" i="4" s="1"/>
  <c r="K35" i="4"/>
  <c r="M35" i="4"/>
  <c r="N35" i="4" s="1"/>
  <c r="K78" i="4"/>
  <c r="M78" i="4"/>
  <c r="N78" i="4" s="1"/>
  <c r="M61" i="4"/>
  <c r="N61" i="4" s="1"/>
  <c r="K61" i="4"/>
  <c r="K205" i="4"/>
  <c r="M205" i="4"/>
  <c r="N205" i="4" s="1"/>
  <c r="M135" i="4"/>
  <c r="N135" i="4" s="1"/>
  <c r="K135" i="4"/>
  <c r="M31" i="4"/>
  <c r="N31" i="4" s="1"/>
  <c r="K31" i="4"/>
  <c r="M200" i="4"/>
  <c r="N200" i="4" s="1"/>
  <c r="K200" i="4"/>
  <c r="K193" i="4"/>
  <c r="M193" i="4"/>
  <c r="N193" i="4" s="1"/>
  <c r="M147" i="4"/>
  <c r="N147" i="4" s="1"/>
  <c r="K147" i="4"/>
  <c r="K32" i="4"/>
  <c r="M32" i="4"/>
  <c r="N32" i="4" s="1"/>
  <c r="M48" i="4"/>
  <c r="N48" i="4" s="1"/>
  <c r="K48" i="4"/>
  <c r="K71" i="4"/>
  <c r="M71" i="4"/>
  <c r="N71" i="4" s="1"/>
  <c r="M183" i="4"/>
  <c r="N183" i="4" s="1"/>
  <c r="K183" i="4"/>
  <c r="K188" i="4"/>
  <c r="M188" i="4"/>
  <c r="N188" i="4" s="1"/>
  <c r="M10" i="4"/>
  <c r="N10" i="4" s="1"/>
  <c r="K10" i="4"/>
  <c r="M66" i="4"/>
  <c r="N66" i="4" s="1"/>
  <c r="K66" i="4"/>
  <c r="K164" i="4"/>
  <c r="M164" i="4"/>
  <c r="N164" i="4" s="1"/>
  <c r="K225" i="4"/>
  <c r="M225" i="4"/>
  <c r="N225" i="4" s="1"/>
  <c r="K110" i="4"/>
  <c r="M110" i="4"/>
  <c r="N110" i="4" s="1"/>
  <c r="K123" i="4"/>
  <c r="M123" i="4"/>
  <c r="N123" i="4" s="1"/>
  <c r="M224" i="4"/>
  <c r="N224" i="4" s="1"/>
  <c r="K224" i="4"/>
  <c r="K169" i="4"/>
  <c r="M169" i="4"/>
  <c r="N169" i="4" s="1"/>
  <c r="M60" i="4"/>
  <c r="N60" i="4" s="1"/>
  <c r="K60" i="4"/>
  <c r="M21" i="4"/>
  <c r="N21" i="4" s="1"/>
  <c r="K21" i="4"/>
  <c r="M109" i="4"/>
  <c r="N109" i="4" s="1"/>
  <c r="K109" i="4"/>
  <c r="K233" i="4"/>
  <c r="M233" i="4"/>
  <c r="N233" i="4" s="1"/>
  <c r="K132" i="4"/>
  <c r="M132" i="4"/>
  <c r="N132" i="4" s="1"/>
  <c r="K161" i="4"/>
  <c r="M161" i="4"/>
  <c r="N161" i="4" s="1"/>
  <c r="K236" i="4"/>
  <c r="M236" i="4"/>
  <c r="N236" i="4" s="1"/>
  <c r="M219" i="4"/>
  <c r="N219" i="4" s="1"/>
  <c r="K219" i="4"/>
  <c r="M152" i="4"/>
  <c r="N152" i="4" s="1"/>
  <c r="K152" i="4"/>
  <c r="M179" i="4"/>
  <c r="N179" i="4" s="1"/>
  <c r="K179" i="4"/>
  <c r="M203" i="4"/>
  <c r="N203" i="4" s="1"/>
  <c r="K203" i="4"/>
  <c r="M120" i="4"/>
  <c r="N120" i="4" s="1"/>
  <c r="K120" i="4"/>
  <c r="K86" i="4"/>
  <c r="M86" i="4"/>
  <c r="N86" i="4" s="1"/>
  <c r="K107" i="4"/>
  <c r="M107" i="4"/>
  <c r="N107" i="4" s="1"/>
  <c r="M68" i="4"/>
  <c r="N68" i="4" s="1"/>
  <c r="K68" i="4"/>
  <c r="M58" i="4"/>
  <c r="N58" i="4" s="1"/>
  <c r="K58" i="4"/>
  <c r="M170" i="4"/>
  <c r="N170" i="4" s="1"/>
  <c r="K170" i="4"/>
  <c r="M117" i="4"/>
  <c r="N117" i="4" s="1"/>
  <c r="K117" i="4"/>
  <c r="K74" i="4"/>
  <c r="M74" i="4"/>
  <c r="N74" i="4" s="1"/>
  <c r="M97" i="4"/>
  <c r="N97" i="4" s="1"/>
  <c r="K97" i="4"/>
  <c r="K72" i="4"/>
  <c r="M72" i="4"/>
  <c r="N72" i="4" s="1"/>
  <c r="M65" i="4"/>
  <c r="N65" i="4" s="1"/>
  <c r="K65" i="4"/>
  <c r="M56" i="4"/>
  <c r="N56" i="4" s="1"/>
  <c r="K56" i="4"/>
  <c r="M22" i="4"/>
  <c r="N22" i="4" s="1"/>
  <c r="K22" i="4"/>
  <c r="M190" i="4"/>
  <c r="N190" i="4" s="1"/>
  <c r="K190" i="4"/>
  <c r="K156" i="4"/>
  <c r="M156" i="4"/>
  <c r="N156" i="4" s="1"/>
</calcChain>
</file>

<file path=xl/sharedStrings.xml><?xml version="1.0" encoding="utf-8"?>
<sst xmlns="http://schemas.openxmlformats.org/spreadsheetml/2006/main" count="1331" uniqueCount="598">
  <si>
    <t>TARIFF IMPACT MODEL</t>
  </si>
  <si>
    <t>Scenario analysis for import tariff effects on produce landed cost and margin</t>
  </si>
  <si>
    <t>Built by Kurt Lu   |   Portfolio version   |   Figures are illustrative</t>
  </si>
  <si>
    <t>ABOUT THIS MODEL</t>
  </si>
  <si>
    <t>This workbook models how import tariffs by country of origin affect landed cost, target selling price, and gross margin across a produce wholesale catalog of ~200 SKUs. Tariff rates and markup assumptions are editable inputs (blue cells). All downstream figures are driven by formulas, so any change to assumptions flows through the entire model.</t>
  </si>
  <si>
    <t>KEY METRICS (at Scenario 1)</t>
  </si>
  <si>
    <t>Total SKUs</t>
  </si>
  <si>
    <t>Countries of Origin</t>
  </si>
  <si>
    <t>Avg Baseline Tariff</t>
  </si>
  <si>
    <t>Avg Scenario 2 Tariff</t>
  </si>
  <si>
    <t>COUNTRY SUMMARY — SCENARIO COMPARISON</t>
  </si>
  <si>
    <t>Country</t>
  </si>
  <si>
    <t># SKUs</t>
  </si>
  <si>
    <t>Avg Base Cost ($)</t>
  </si>
  <si>
    <t>Baseline Tariff</t>
  </si>
  <si>
    <t>Scenario 1</t>
  </si>
  <si>
    <t>Scenario 2</t>
  </si>
  <si>
    <t>S1 Cost Impact ($)</t>
  </si>
  <si>
    <t>S2 Cost Impact ($)</t>
  </si>
  <si>
    <t>Belgium</t>
  </si>
  <si>
    <t>Canada</t>
  </si>
  <si>
    <t>Chile</t>
  </si>
  <si>
    <t>China</t>
  </si>
  <si>
    <t>Colombia</t>
  </si>
  <si>
    <t>Costa Rica</t>
  </si>
  <si>
    <t>Ecuador</t>
  </si>
  <si>
    <t>France</t>
  </si>
  <si>
    <t>Guatemala</t>
  </si>
  <si>
    <t>Italy</t>
  </si>
  <si>
    <t>Japan</t>
  </si>
  <si>
    <t>Mexico</t>
  </si>
  <si>
    <t>New Zealand</t>
  </si>
  <si>
    <t>Peru</t>
  </si>
  <si>
    <t>Philippines</t>
  </si>
  <si>
    <t>South Korea</t>
  </si>
  <si>
    <t>Spain</t>
  </si>
  <si>
    <t>Thailand</t>
  </si>
  <si>
    <t>Turkey</t>
  </si>
  <si>
    <t>USA</t>
  </si>
  <si>
    <t>Vietnam</t>
  </si>
  <si>
    <t>TOTAL / AVG</t>
  </si>
  <si>
    <t>HOW TO USE</t>
  </si>
  <si>
    <t>1.  Go to the Tariff Rates tab and adjust scenario rates (blue cells) to test different tariff environments.</t>
  </si>
  <si>
    <t>2.  In the Product Catalog, update origin country or markup % if modeling a different catalog.</t>
  </si>
  <si>
    <t>3.  The Impact Analysis tab flows through all calculations — landed cost, target price, margin, and delta vs pre-tariff.</t>
  </si>
  <si>
    <t>4.  This Dashboard rolls everything up by country. Cost impact numbers show the additional landed cost burden vs baseline.</t>
  </si>
  <si>
    <t>5.  See the Methodology tab for definitions and assumptions.</t>
  </si>
  <si>
    <t>Legend:</t>
  </si>
  <si>
    <t>Blue text = input</t>
  </si>
  <si>
    <t>Black text = formula</t>
  </si>
  <si>
    <t>Green text = cross-sheet link</t>
  </si>
  <si>
    <t>Yellow = assumption</t>
  </si>
  <si>
    <t>TARIFF RATES BY COUNTRY OF ORIGIN</t>
  </si>
  <si>
    <t>Adjust blue cells to model different tariff scenarios. Baseline is illustrative.</t>
  </si>
  <si>
    <t>Country of Origin</t>
  </si>
  <si>
    <t>Baseline %</t>
  </si>
  <si>
    <t>Scenario 1 %</t>
  </si>
  <si>
    <t>Scenario 2 %</t>
  </si>
  <si>
    <t>Notes</t>
  </si>
  <si>
    <t>Illustrative rate for modeling</t>
  </si>
  <si>
    <t>Assumption: rates applied ad-valorem on base landed cost. Blue cells are editable inputs.</t>
  </si>
  <si>
    <t>PRODUCT CATALOG  |  Master SKU list — edit blue cells to modify assumptions</t>
  </si>
  <si>
    <t>SKU</t>
  </si>
  <si>
    <t>Product Name</t>
  </si>
  <si>
    <t>Category</t>
  </si>
  <si>
    <t>Base Cost ($)</t>
  </si>
  <si>
    <t>Unit</t>
  </si>
  <si>
    <t>Target Markup %</t>
  </si>
  <si>
    <t>SKU-1001</t>
  </si>
  <si>
    <t>Bok Choy (Baby)</t>
  </si>
  <si>
    <t>Asian Vegetables</t>
  </si>
  <si>
    <t>case</t>
  </si>
  <si>
    <t>SKU-1002</t>
  </si>
  <si>
    <t>Bok Choy (Shanghai)</t>
  </si>
  <si>
    <t>SKU-1003</t>
  </si>
  <si>
    <t>Napa Cabbage</t>
  </si>
  <si>
    <t>SKU-1004</t>
  </si>
  <si>
    <t>Chinese Broccoli (Gai Lan)</t>
  </si>
  <si>
    <t>SKU-1005</t>
  </si>
  <si>
    <t>Yu Choy</t>
  </si>
  <si>
    <t>SKU-1006</t>
  </si>
  <si>
    <t>Yu Choy Sum</t>
  </si>
  <si>
    <t>SKU-1007</t>
  </si>
  <si>
    <t>Chinese Eggplant</t>
  </si>
  <si>
    <t>SKU-1008</t>
  </si>
  <si>
    <t>Japanese Eggplant</t>
  </si>
  <si>
    <t>SKU-1009</t>
  </si>
  <si>
    <t>Thai Eggplant</t>
  </si>
  <si>
    <t>SKU-1010</t>
  </si>
  <si>
    <t>Daikon Radish</t>
  </si>
  <si>
    <t>SKU-1011</t>
  </si>
  <si>
    <t>Korean Radish</t>
  </si>
  <si>
    <t>SKU-1012</t>
  </si>
  <si>
    <t>Water Spinach</t>
  </si>
  <si>
    <t>SKU-1013</t>
  </si>
  <si>
    <t>Malabar Spinach</t>
  </si>
  <si>
    <t>SKU-1014</t>
  </si>
  <si>
    <t>Mustard Greens</t>
  </si>
  <si>
    <t>SKU-1015</t>
  </si>
  <si>
    <t>Chinese Celery</t>
  </si>
  <si>
    <t>SKU-1016</t>
  </si>
  <si>
    <t>Garlic Chives</t>
  </si>
  <si>
    <t>SKU-1017</t>
  </si>
  <si>
    <t>Bitter Melon</t>
  </si>
  <si>
    <t>SKU-1018</t>
  </si>
  <si>
    <t>Opo Squash</t>
  </si>
  <si>
    <t>SKU-1019</t>
  </si>
  <si>
    <t>Luffa (Angled)</t>
  </si>
  <si>
    <t>SKU-1020</t>
  </si>
  <si>
    <t>Luffa (Smooth)</t>
  </si>
  <si>
    <t>SKU-1021</t>
  </si>
  <si>
    <t>Winter Melon</t>
  </si>
  <si>
    <t>SKU-1022</t>
  </si>
  <si>
    <t>Fuzzy Melon</t>
  </si>
  <si>
    <t>SKU-1023</t>
  </si>
  <si>
    <t>Chayote</t>
  </si>
  <si>
    <t>SKU-1024</t>
  </si>
  <si>
    <t>Snow Peas</t>
  </si>
  <si>
    <t>SKU-1025</t>
  </si>
  <si>
    <t>Sugar Snap Peas</t>
  </si>
  <si>
    <t>SKU-1026</t>
  </si>
  <si>
    <t>Long Beans (Yard)</t>
  </si>
  <si>
    <t>SKU-1027</t>
  </si>
  <si>
    <t>Chinese Long Beans</t>
  </si>
  <si>
    <t>SKU-1028</t>
  </si>
  <si>
    <t>Edamame</t>
  </si>
  <si>
    <t>SKU-1029</t>
  </si>
  <si>
    <t>Taiwanese Bok Choy</t>
  </si>
  <si>
    <t>SKU-1030</t>
  </si>
  <si>
    <t>Tatsoi</t>
  </si>
  <si>
    <t>SKU-1031</t>
  </si>
  <si>
    <t>Taro Root</t>
  </si>
  <si>
    <t>Roots &amp; Squash</t>
  </si>
  <si>
    <t>SKU-1032</t>
  </si>
  <si>
    <t>Baby Taro</t>
  </si>
  <si>
    <t>SKU-1033</t>
  </si>
  <si>
    <t>Lotus Root</t>
  </si>
  <si>
    <t>SKU-1034</t>
  </si>
  <si>
    <t>Water Chestnuts (Fresh)</t>
  </si>
  <si>
    <t>SKU-1035</t>
  </si>
  <si>
    <t>Japanese Sweet Potato</t>
  </si>
  <si>
    <t>SKU-1036</t>
  </si>
  <si>
    <t>Purple Yam (Ube)</t>
  </si>
  <si>
    <t>SKU-1037</t>
  </si>
  <si>
    <t>Korean Sweet Potato</t>
  </si>
  <si>
    <t>SKU-1038</t>
  </si>
  <si>
    <t>Kabocha Squash</t>
  </si>
  <si>
    <t>SKU-1039</t>
  </si>
  <si>
    <t>Butternut Squash</t>
  </si>
  <si>
    <t>SKU-1040</t>
  </si>
  <si>
    <t>Acorn Squash</t>
  </si>
  <si>
    <t>SKU-1041</t>
  </si>
  <si>
    <t>Spaghetti Squash</t>
  </si>
  <si>
    <t>SKU-1042</t>
  </si>
  <si>
    <t>Delicata Squash</t>
  </si>
  <si>
    <t>SKU-1043</t>
  </si>
  <si>
    <t>Honeynut Squash</t>
  </si>
  <si>
    <t>SKU-1044</t>
  </si>
  <si>
    <t>Red Kuri Squash</t>
  </si>
  <si>
    <t>SKU-1045</t>
  </si>
  <si>
    <t>Jicama</t>
  </si>
  <si>
    <t>SKU-1046</t>
  </si>
  <si>
    <t>Yuca (Cassava)</t>
  </si>
  <si>
    <t>SKU-1047</t>
  </si>
  <si>
    <t>Malanga</t>
  </si>
  <si>
    <t>SKU-1048</t>
  </si>
  <si>
    <t>Fresh Ginger</t>
  </si>
  <si>
    <t>Ginger &amp; Spices</t>
  </si>
  <si>
    <t>SKU-1049</t>
  </si>
  <si>
    <t>Young Ginger</t>
  </si>
  <si>
    <t>SKU-1050</t>
  </si>
  <si>
    <t>Turmeric Root</t>
  </si>
  <si>
    <t>SKU-1051</t>
  </si>
  <si>
    <t>Galangal</t>
  </si>
  <si>
    <t>SKU-1052</t>
  </si>
  <si>
    <t>Lemongrass</t>
  </si>
  <si>
    <t>SKU-1053</t>
  </si>
  <si>
    <t>Kaffir Lime Leaves</t>
  </si>
  <si>
    <t>SKU-1054</t>
  </si>
  <si>
    <t>Thai Bird Chili</t>
  </si>
  <si>
    <t>SKU-1055</t>
  </si>
  <si>
    <t>Serrano Chili</t>
  </si>
  <si>
    <t>SKU-1056</t>
  </si>
  <si>
    <t>Jalapeño</t>
  </si>
  <si>
    <t>SKU-1057</t>
  </si>
  <si>
    <t>Habanero</t>
  </si>
  <si>
    <t>SKU-1058</t>
  </si>
  <si>
    <t>Poblano</t>
  </si>
  <si>
    <t>SKU-1059</t>
  </si>
  <si>
    <t>Anaheim Chili</t>
  </si>
  <si>
    <t>SKU-1060</t>
  </si>
  <si>
    <t>Shishito Pepper</t>
  </si>
  <si>
    <t>SKU-1061</t>
  </si>
  <si>
    <t>Garlic (Jumbo)</t>
  </si>
  <si>
    <t>SKU-1062</t>
  </si>
  <si>
    <t>Garlic (Peeled)</t>
  </si>
  <si>
    <t>SKU-1063</t>
  </si>
  <si>
    <t>Garlic (Elephant)</t>
  </si>
  <si>
    <t>SKU-1064</t>
  </si>
  <si>
    <t>Shallots</t>
  </si>
  <si>
    <t>SKU-1065</t>
  </si>
  <si>
    <t>French Shallots</t>
  </si>
  <si>
    <t>SKU-1066</t>
  </si>
  <si>
    <t>Iceberg Lettuce</t>
  </si>
  <si>
    <t>American Vegetables</t>
  </si>
  <si>
    <t>SKU-1067</t>
  </si>
  <si>
    <t>Romaine Hearts</t>
  </si>
  <si>
    <t>SKU-1068</t>
  </si>
  <si>
    <t>Green Leaf Lettuce</t>
  </si>
  <si>
    <t>SKU-1069</t>
  </si>
  <si>
    <t>Red Leaf Lettuce</t>
  </si>
  <si>
    <t>SKU-1070</t>
  </si>
  <si>
    <t>Butter Lettuce</t>
  </si>
  <si>
    <t>SKU-1071</t>
  </si>
  <si>
    <t>Baby Spinach</t>
  </si>
  <si>
    <t>SKU-1072</t>
  </si>
  <si>
    <t>Kale (Curly)</t>
  </si>
  <si>
    <t>SKU-1073</t>
  </si>
  <si>
    <t>Kale (Lacinato)</t>
  </si>
  <si>
    <t>SKU-1074</t>
  </si>
  <si>
    <t>Arugula</t>
  </si>
  <si>
    <t>SKU-1075</t>
  </si>
  <si>
    <t>Tomatoes (Roma)</t>
  </si>
  <si>
    <t>SKU-1076</t>
  </si>
  <si>
    <t>Tomatoes (Beefsteak)</t>
  </si>
  <si>
    <t>SKU-1077</t>
  </si>
  <si>
    <t>Cherry Tomatoes</t>
  </si>
  <si>
    <t>SKU-1078</t>
  </si>
  <si>
    <t>Grape Tomatoes</t>
  </si>
  <si>
    <t>SKU-1079</t>
  </si>
  <si>
    <t>Heirloom Tomatoes</t>
  </si>
  <si>
    <t>SKU-1080</t>
  </si>
  <si>
    <t>Cucumber (Slicing)</t>
  </si>
  <si>
    <t>SKU-1081</t>
  </si>
  <si>
    <t>English Cucumber</t>
  </si>
  <si>
    <t>SKU-1082</t>
  </si>
  <si>
    <t>Persian Cucumber</t>
  </si>
  <si>
    <t>SKU-1083</t>
  </si>
  <si>
    <t>Zucchini</t>
  </si>
  <si>
    <t>SKU-1084</t>
  </si>
  <si>
    <t>Yellow Squash</t>
  </si>
  <si>
    <t>SKU-1085</t>
  </si>
  <si>
    <t>Green Bell Pepper</t>
  </si>
  <si>
    <t>SKU-1086</t>
  </si>
  <si>
    <t>Red Bell Pepper</t>
  </si>
  <si>
    <t>SKU-1087</t>
  </si>
  <si>
    <t>Yellow Bell Pepper</t>
  </si>
  <si>
    <t>SKU-1088</t>
  </si>
  <si>
    <t>Orange Bell Pepper</t>
  </si>
  <si>
    <t>SKU-1089</t>
  </si>
  <si>
    <t>Mini Sweet Peppers</t>
  </si>
  <si>
    <t>SKU-1090</t>
  </si>
  <si>
    <t>Yellow Onion</t>
  </si>
  <si>
    <t>SKU-1091</t>
  </si>
  <si>
    <t>Red Onion</t>
  </si>
  <si>
    <t>SKU-1092</t>
  </si>
  <si>
    <t>White Onion</t>
  </si>
  <si>
    <t>SKU-1093</t>
  </si>
  <si>
    <t>Sweet Onion</t>
  </si>
  <si>
    <t>SKU-1094</t>
  </si>
  <si>
    <t>Green Onion</t>
  </si>
  <si>
    <t>SKU-1095</t>
  </si>
  <si>
    <t>Leeks</t>
  </si>
  <si>
    <t>SKU-1096</t>
  </si>
  <si>
    <t>Celery</t>
  </si>
  <si>
    <t>SKU-1097</t>
  </si>
  <si>
    <t>Carrots (Bulk)</t>
  </si>
  <si>
    <t>SKU-1098</t>
  </si>
  <si>
    <t>Rainbow Carrots</t>
  </si>
  <si>
    <t>SKU-1099</t>
  </si>
  <si>
    <t>Broccoli Crowns</t>
  </si>
  <si>
    <t>SKU-1100</t>
  </si>
  <si>
    <t>Broccolini</t>
  </si>
  <si>
    <t>SKU-1101</t>
  </si>
  <si>
    <t>Cauliflower</t>
  </si>
  <si>
    <t>SKU-1102</t>
  </si>
  <si>
    <t>Romanesco</t>
  </si>
  <si>
    <t>SKU-1103</t>
  </si>
  <si>
    <t>Green Cabbage</t>
  </si>
  <si>
    <t>SKU-1104</t>
  </si>
  <si>
    <t>Red Cabbage</t>
  </si>
  <si>
    <t>SKU-1105</t>
  </si>
  <si>
    <t>Savoy Cabbage</t>
  </si>
  <si>
    <t>SKU-1106</t>
  </si>
  <si>
    <t>Brussels Sprouts</t>
  </si>
  <si>
    <t>SKU-1107</t>
  </si>
  <si>
    <t>Asparagus</t>
  </si>
  <si>
    <t>SKU-1108</t>
  </si>
  <si>
    <t>Artichoke</t>
  </si>
  <si>
    <t>SKU-1109</t>
  </si>
  <si>
    <t>Fennel Bulb</t>
  </si>
  <si>
    <t>SKU-1110</t>
  </si>
  <si>
    <t>Radicchio</t>
  </si>
  <si>
    <t>SKU-1111</t>
  </si>
  <si>
    <t>Endive</t>
  </si>
  <si>
    <t>SKU-1112</t>
  </si>
  <si>
    <t>Button Mushrooms</t>
  </si>
  <si>
    <t>Mushrooms</t>
  </si>
  <si>
    <t>SKU-1113</t>
  </si>
  <si>
    <t>Cremini Mushrooms</t>
  </si>
  <si>
    <t>SKU-1114</t>
  </si>
  <si>
    <t>Portobello</t>
  </si>
  <si>
    <t>SKU-1115</t>
  </si>
  <si>
    <t>Shiitake (Fresh)</t>
  </si>
  <si>
    <t>SKU-1116</t>
  </si>
  <si>
    <t>Shiitake (Dried)</t>
  </si>
  <si>
    <t>SKU-1117</t>
  </si>
  <si>
    <t>King Oyster</t>
  </si>
  <si>
    <t>SKU-1118</t>
  </si>
  <si>
    <t>Oyster Mushrooms</t>
  </si>
  <si>
    <t>SKU-1119</t>
  </si>
  <si>
    <t>Enoki</t>
  </si>
  <si>
    <t>SKU-1120</t>
  </si>
  <si>
    <t>Beech (Shimeji)</t>
  </si>
  <si>
    <t>SKU-1121</t>
  </si>
  <si>
    <t>Wood Ear (Dried)</t>
  </si>
  <si>
    <t>SKU-1122</t>
  </si>
  <si>
    <t>Morel (Dried)</t>
  </si>
  <si>
    <t>SKU-1123</t>
  </si>
  <si>
    <t>Cilantro</t>
  </si>
  <si>
    <t>Herbs</t>
  </si>
  <si>
    <t>SKU-1124</t>
  </si>
  <si>
    <t>Flat-Leaf Parsley</t>
  </si>
  <si>
    <t>SKU-1125</t>
  </si>
  <si>
    <t>Curly Parsley</t>
  </si>
  <si>
    <t>SKU-1126</t>
  </si>
  <si>
    <t>Dill</t>
  </si>
  <si>
    <t>SKU-1127</t>
  </si>
  <si>
    <t>Mint (Spearmint)</t>
  </si>
  <si>
    <t>SKU-1128</t>
  </si>
  <si>
    <t>Thai Basil</t>
  </si>
  <si>
    <t>SKU-1129</t>
  </si>
  <si>
    <t>Holy Basil</t>
  </si>
  <si>
    <t>SKU-1130</t>
  </si>
  <si>
    <t>Italian Basil</t>
  </si>
  <si>
    <t>SKU-1131</t>
  </si>
  <si>
    <t>Rosemary</t>
  </si>
  <si>
    <t>SKU-1132</t>
  </si>
  <si>
    <t>Thyme</t>
  </si>
  <si>
    <t>SKU-1133</t>
  </si>
  <si>
    <t>Oregano</t>
  </si>
  <si>
    <t>SKU-1134</t>
  </si>
  <si>
    <t>Sage</t>
  </si>
  <si>
    <t>SKU-1135</t>
  </si>
  <si>
    <t>Tarragon</t>
  </si>
  <si>
    <t>SKU-1136</t>
  </si>
  <si>
    <t>Chives</t>
  </si>
  <si>
    <t>SKU-1137</t>
  </si>
  <si>
    <t>Marjoram</t>
  </si>
  <si>
    <t>SKU-1138</t>
  </si>
  <si>
    <t>Mango (Ataulfo)</t>
  </si>
  <si>
    <t>Fruits</t>
  </si>
  <si>
    <t>SKU-1139</t>
  </si>
  <si>
    <t>Mango (Kent)</t>
  </si>
  <si>
    <t>SKU-1140</t>
  </si>
  <si>
    <t>Mango (Tommy Atkins)</t>
  </si>
  <si>
    <t>SKU-1141</t>
  </si>
  <si>
    <t>Papaya (Maradol)</t>
  </si>
  <si>
    <t>SKU-1142</t>
  </si>
  <si>
    <t>Papaya (Hawaiian)</t>
  </si>
  <si>
    <t>SKU-1143</t>
  </si>
  <si>
    <t>Pineapple</t>
  </si>
  <si>
    <t>SKU-1144</t>
  </si>
  <si>
    <t>Pineapple (Golden)</t>
  </si>
  <si>
    <t>SKU-1145</t>
  </si>
  <si>
    <t>Banana</t>
  </si>
  <si>
    <t>SKU-1146</t>
  </si>
  <si>
    <t>Baby Banana</t>
  </si>
  <si>
    <t>SKU-1147</t>
  </si>
  <si>
    <t>Plantain</t>
  </si>
  <si>
    <t>SKU-1148</t>
  </si>
  <si>
    <t>Dragon Fruit (White)</t>
  </si>
  <si>
    <t>SKU-1149</t>
  </si>
  <si>
    <t>Dragon Fruit (Red)</t>
  </si>
  <si>
    <t>SKU-1150</t>
  </si>
  <si>
    <t>Lychee</t>
  </si>
  <si>
    <t>SKU-1151</t>
  </si>
  <si>
    <t>Longan</t>
  </si>
  <si>
    <t>SKU-1152</t>
  </si>
  <si>
    <t>Rambutan</t>
  </si>
  <si>
    <t>SKU-1153</t>
  </si>
  <si>
    <t>Mangosteen</t>
  </si>
  <si>
    <t>SKU-1154</t>
  </si>
  <si>
    <t>Passion Fruit</t>
  </si>
  <si>
    <t>SKU-1155</t>
  </si>
  <si>
    <t>Guava</t>
  </si>
  <si>
    <t>SKU-1156</t>
  </si>
  <si>
    <t>Persimmon (Fuyu)</t>
  </si>
  <si>
    <t>SKU-1157</t>
  </si>
  <si>
    <t>Persimmon (Hachiya)</t>
  </si>
  <si>
    <t>SKU-1158</t>
  </si>
  <si>
    <t>Pomegranate</t>
  </si>
  <si>
    <t>SKU-1159</t>
  </si>
  <si>
    <t>Kiwi (Green)</t>
  </si>
  <si>
    <t>SKU-1160</t>
  </si>
  <si>
    <t>Kiwi (Gold)</t>
  </si>
  <si>
    <t>SKU-1161</t>
  </si>
  <si>
    <t>Fig (Black Mission)</t>
  </si>
  <si>
    <t>SKU-1162</t>
  </si>
  <si>
    <t>Fig (Turkish)</t>
  </si>
  <si>
    <t>SKU-1163</t>
  </si>
  <si>
    <t>Date (Medjool)</t>
  </si>
  <si>
    <t>SKU-1164</t>
  </si>
  <si>
    <t>Avocado (Hass)</t>
  </si>
  <si>
    <t>SKU-1165</t>
  </si>
  <si>
    <t>Avocado (Bacon)</t>
  </si>
  <si>
    <t>SKU-1166</t>
  </si>
  <si>
    <t>Avocado (Fuerte)</t>
  </si>
  <si>
    <t>SKU-1167</t>
  </si>
  <si>
    <t>Lime</t>
  </si>
  <si>
    <t>SKU-1168</t>
  </si>
  <si>
    <t>Key Lime</t>
  </si>
  <si>
    <t>SKU-1169</t>
  </si>
  <si>
    <t>Lemon</t>
  </si>
  <si>
    <t>SKU-1170</t>
  </si>
  <si>
    <t>Meyer Lemon</t>
  </si>
  <si>
    <t>SKU-1171</t>
  </si>
  <si>
    <t>Navel Orange</t>
  </si>
  <si>
    <t>SKU-1172</t>
  </si>
  <si>
    <t>Valencia Orange</t>
  </si>
  <si>
    <t>SKU-1173</t>
  </si>
  <si>
    <t>Blood Orange</t>
  </si>
  <si>
    <t>SKU-1174</t>
  </si>
  <si>
    <t>Cara Cara Orange</t>
  </si>
  <si>
    <t>SKU-1175</t>
  </si>
  <si>
    <t>Mandarin</t>
  </si>
  <si>
    <t>SKU-1176</t>
  </si>
  <si>
    <t>Satsuma</t>
  </si>
  <si>
    <t>SKU-1177</t>
  </si>
  <si>
    <t>Grapefruit</t>
  </si>
  <si>
    <t>SKU-1178</t>
  </si>
  <si>
    <t>Pomelo</t>
  </si>
  <si>
    <t>SKU-1179</t>
  </si>
  <si>
    <t>Apple (Fuji)</t>
  </si>
  <si>
    <t>SKU-1180</t>
  </si>
  <si>
    <t>Apple (Gala)</t>
  </si>
  <si>
    <t>SKU-1181</t>
  </si>
  <si>
    <t>Apple (Honeycrisp)</t>
  </si>
  <si>
    <t>SKU-1182</t>
  </si>
  <si>
    <t>Apple (Granny Smith)</t>
  </si>
  <si>
    <t>SKU-1183</t>
  </si>
  <si>
    <t>Apple (Pink Lady)</t>
  </si>
  <si>
    <t>SKU-1184</t>
  </si>
  <si>
    <t>Apple (Envy)</t>
  </si>
  <si>
    <t>SKU-1185</t>
  </si>
  <si>
    <t>Pear (Bartlett)</t>
  </si>
  <si>
    <t>SKU-1186</t>
  </si>
  <si>
    <t>Pear (Anjou)</t>
  </si>
  <si>
    <t>SKU-1187</t>
  </si>
  <si>
    <t>Pear (Bosc)</t>
  </si>
  <si>
    <t>SKU-1188</t>
  </si>
  <si>
    <t>Asian Pear</t>
  </si>
  <si>
    <t>SKU-1189</t>
  </si>
  <si>
    <t>Korean Pear</t>
  </si>
  <si>
    <t>SKU-1190</t>
  </si>
  <si>
    <t>Grape (Red Seedless)</t>
  </si>
  <si>
    <t>SKU-1191</t>
  </si>
  <si>
    <t>Grape (Green Seedless)</t>
  </si>
  <si>
    <t>SKU-1192</t>
  </si>
  <si>
    <t>Grape (Black)</t>
  </si>
  <si>
    <t>SKU-1193</t>
  </si>
  <si>
    <t>Grape (Cotton Candy)</t>
  </si>
  <si>
    <t>SKU-1194</t>
  </si>
  <si>
    <t>Strawberry</t>
  </si>
  <si>
    <t>SKU-1195</t>
  </si>
  <si>
    <t>Blueberry</t>
  </si>
  <si>
    <t>SKU-1196</t>
  </si>
  <si>
    <t>Raspberry</t>
  </si>
  <si>
    <t>SKU-1197</t>
  </si>
  <si>
    <t>Blackberry</t>
  </si>
  <si>
    <t>SKU-1198</t>
  </si>
  <si>
    <t>Peach (Yellow)</t>
  </si>
  <si>
    <t>Stone Fruit</t>
  </si>
  <si>
    <t>SKU-1199</t>
  </si>
  <si>
    <t>Peach (White)</t>
  </si>
  <si>
    <t>SKU-1200</t>
  </si>
  <si>
    <t>Nectarine (Yellow)</t>
  </si>
  <si>
    <t>SKU-1201</t>
  </si>
  <si>
    <t>Nectarine (White)</t>
  </si>
  <si>
    <t>SKU-1202</t>
  </si>
  <si>
    <t>Plum (Red)</t>
  </si>
  <si>
    <t>SKU-1203</t>
  </si>
  <si>
    <t>Plum (Black)</t>
  </si>
  <si>
    <t>SKU-1204</t>
  </si>
  <si>
    <t>Pluot</t>
  </si>
  <si>
    <t>SKU-1205</t>
  </si>
  <si>
    <t>Apricot</t>
  </si>
  <si>
    <t>SKU-1206</t>
  </si>
  <si>
    <t>Cherry (Bing)</t>
  </si>
  <si>
    <t>SKU-1207</t>
  </si>
  <si>
    <t>Cherry (Rainier)</t>
  </si>
  <si>
    <t>SKU-1208</t>
  </si>
  <si>
    <t>Dried Lily Flower</t>
  </si>
  <si>
    <t>Imported Dry Goods</t>
  </si>
  <si>
    <t>SKU-1209</t>
  </si>
  <si>
    <t>Dried Tangerine Peel</t>
  </si>
  <si>
    <t>SKU-1210</t>
  </si>
  <si>
    <t>Dried Bamboo Shoots</t>
  </si>
  <si>
    <t>SKU-1211</t>
  </si>
  <si>
    <t>Bamboo Shoots (Canned)</t>
  </si>
  <si>
    <t>SKU-1212</t>
  </si>
  <si>
    <t>Water Chestnut (Canned)</t>
  </si>
  <si>
    <t>SKU-1213</t>
  </si>
  <si>
    <t>Preserved Radish</t>
  </si>
  <si>
    <t>SKU-1214</t>
  </si>
  <si>
    <t>Sichuan Preserved Veg</t>
  </si>
  <si>
    <t>SKU-1215</t>
  </si>
  <si>
    <t>Dried Shrimp</t>
  </si>
  <si>
    <t>SKU-1216</t>
  </si>
  <si>
    <t>Wolfberries (Goji)</t>
  </si>
  <si>
    <t>SKU-1217</t>
  </si>
  <si>
    <t>Red Date (Jujube)</t>
  </si>
  <si>
    <t>SKU-1218</t>
  </si>
  <si>
    <t>Italian Radicchio</t>
  </si>
  <si>
    <t>Specialty</t>
  </si>
  <si>
    <t>SKU-1219</t>
  </si>
  <si>
    <t>Castelfranco</t>
  </si>
  <si>
    <t>SKU-1220</t>
  </si>
  <si>
    <t>Romanesco Broccoli</t>
  </si>
  <si>
    <t>SKU-1221</t>
  </si>
  <si>
    <t>Saffron</t>
  </si>
  <si>
    <t>SKU-1222</t>
  </si>
  <si>
    <t>Piquillo Pepper</t>
  </si>
  <si>
    <t>SKU-1223</t>
  </si>
  <si>
    <t>Tomatillo</t>
  </si>
  <si>
    <t>SKU-1224</t>
  </si>
  <si>
    <t>Nopales (Cactus)</t>
  </si>
  <si>
    <t>SKU-1225</t>
  </si>
  <si>
    <t>Epazote</t>
  </si>
  <si>
    <t>SKU-1226</t>
  </si>
  <si>
    <t>Yucca Flowers</t>
  </si>
  <si>
    <t>SKU-1227</t>
  </si>
  <si>
    <t>Hoja Santa</t>
  </si>
  <si>
    <t>SKU-1228</t>
  </si>
  <si>
    <t>Vietnamese Coriander</t>
  </si>
  <si>
    <t>SKU-1229</t>
  </si>
  <si>
    <t>Perilla (Shiso)</t>
  </si>
  <si>
    <t>SKU-1230</t>
  </si>
  <si>
    <t>Wasabi Root</t>
  </si>
  <si>
    <t>SKU-1231</t>
  </si>
  <si>
    <t>Myoga</t>
  </si>
  <si>
    <t>SKU-1232</t>
  </si>
  <si>
    <t>Japanese Turnip</t>
  </si>
  <si>
    <t>IMPACT ANALYSIS  |  Per-SKU landed cost, margin, and scenario deltas</t>
  </si>
  <si>
    <t>Freight &amp; handling: flat adder per unit applied pre-tariff (see Methodology). Scenario columns show landed cost, target price, and margin.</t>
  </si>
  <si>
    <t>Product Info</t>
  </si>
  <si>
    <t>Cost Basis</t>
  </si>
  <si>
    <t>Baseline</t>
  </si>
  <si>
    <t>Impact</t>
  </si>
  <si>
    <t>Origin</t>
  </si>
  <si>
    <t>Base Cost</t>
  </si>
  <si>
    <t>Freight/Unit</t>
  </si>
  <si>
    <t>Base Landed</t>
  </si>
  <si>
    <t>Base Margin %</t>
  </si>
  <si>
    <t>S1 Landed</t>
  </si>
  <si>
    <t>S1 Margin %</t>
  </si>
  <si>
    <t>S2 Landed</t>
  </si>
  <si>
    <t>S2 Margin %</t>
  </si>
  <si>
    <t>Margin Δ (S2-Base)</t>
  </si>
  <si>
    <t>METHODOLOGY &amp; ASSUMPTIONS</t>
  </si>
  <si>
    <t>Core assumptions driving the model. Edit blue cells to re-scope.</t>
  </si>
  <si>
    <t>KEY INPUT ASSUMPTIONS</t>
  </si>
  <si>
    <t>Freight &amp; Handling / Unit</t>
  </si>
  <si>
    <t>Flat adder applied to base cost before tariff. Simplification for modeling.</t>
  </si>
  <si>
    <t>Base Markup (default)</t>
  </si>
  <si>
    <t>Target Margin Lock</t>
  </si>
  <si>
    <t>Price-locked</t>
  </si>
  <si>
    <t>Target selling price fixed at baseline. Tariff increases erode margin rather than flow to price.</t>
  </si>
  <si>
    <t>Tariff Treatment</t>
  </si>
  <si>
    <t>Ad-valorem</t>
  </si>
  <si>
    <t>Tariff applied to base + freight (landed cost basis). No MFN or duty-free preference modeled.</t>
  </si>
  <si>
    <t>Currency</t>
  </si>
  <si>
    <t>USD</t>
  </si>
  <si>
    <t>All figures in US dollars. No FX risk modeled.</t>
  </si>
  <si>
    <t>Catalog Scope</t>
  </si>
  <si>
    <t>Produce wholesale</t>
  </si>
  <si>
    <t>Fresh produce, specialty items, imported dry goods. Seasonality abstracted.</t>
  </si>
  <si>
    <t>DEFINITIONS</t>
  </si>
  <si>
    <t>Negotiated FOB cost per unit from supplier, pre-freight, pre-tariff.</t>
  </si>
  <si>
    <t>Freight / Unit</t>
  </si>
  <si>
    <t>All-in inbound freight and handling cost allocated per unit.</t>
  </si>
  <si>
    <t>Landed Cost</t>
  </si>
  <si>
    <t>(Base Cost + Freight) × (1 + Applicable Tariff Rate). The all-in cost of inventory at the warehouse door.</t>
  </si>
  <si>
    <t>Target Price</t>
  </si>
  <si>
    <t>Baseline landed cost × (1 + Target Markup). Held constant across scenarios to isolate tariff impact on margin.</t>
  </si>
  <si>
    <t>Gross Margin %</t>
  </si>
  <si>
    <t>(Target Price − Landed Cost) ÷ Target Price. How much margin survives after tariff pass-through to cost.</t>
  </si>
  <si>
    <t>Margin Δ</t>
  </si>
  <si>
    <t>Scenario margin − Baseline margin. Negative values = margin compression from tariff increases.</t>
  </si>
  <si>
    <t>MODEL LIMITATIONS</t>
  </si>
  <si>
    <t>•  Tariff rates are illustrative and do not reflect any specific current policy.</t>
  </si>
  <si>
    <t>•  Does not model seasonality, spoilage, or substitution between SKUs as prices shift.</t>
  </si>
  <si>
    <t>•  Assumes no pass-through to customers (price-locked scenario). A real analysis would test pass-through elasticity.</t>
  </si>
  <si>
    <t>•  Freight is treated as a flat per-unit adder, not weight- or volume-based.</t>
  </si>
  <si>
    <t>•  No FX, insurance, broker, or demurrage line items — these would be separate in a full landed-cost build.</t>
  </si>
  <si>
    <t>ABOUT</t>
  </si>
  <si>
    <t>Built by Kurt Lu as a portfolio piece. Originally developed during a financial analyst internship to quantify tariff exposure across an import-heavy produce catalog. Rebuilt for public use with fully synthetic data, no proprietary supplier, pricing, or margin information is included.</t>
  </si>
  <si>
    <t>Default catalog markup if SKU specific rate not provided.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</si>
</sst>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\$#,##0.00"/>
    <numFmt numFmtId="166" formatCode="\$#,##0"/>
    <numFmt numFmtId="167" formatCode="0.0%;[Red]\(0.0%\)"/>
  </numFmts>
  <fonts count="15" x14ac:knownFonts="1">
    <font>
      <sz val="11"/>
      <color theme="1"/>
      <name val="Calibri"/>
      <family val="2"/>
      <charset val="1"/>
    </font>
    <font>
      <b/>
      <sz val="20"/>
      <color rgb="FF1F3864"/>
      <name val="Arial"/>
      <charset val="1"/>
    </font>
    <font>
      <i/>
      <sz val="11"/>
      <color rgb="FF4472C4"/>
      <name val="Arial"/>
      <charset val="1"/>
    </font>
    <font>
      <i/>
      <sz val="9"/>
      <color rgb="FF595959"/>
      <name val="Arial"/>
      <charset val="1"/>
    </font>
    <font>
      <b/>
      <sz val="12"/>
      <color rgb="FFFFFFFF"/>
      <name val="Arial"/>
      <charset val="1"/>
    </font>
    <font>
      <sz val="10"/>
      <color rgb="FF333333"/>
      <name val="Arial"/>
      <charset val="1"/>
    </font>
    <font>
      <sz val="9"/>
      <color rgb="FF595959"/>
      <name val="Arial"/>
      <charset val="1"/>
    </font>
    <font>
      <b/>
      <sz val="16"/>
      <color rgb="FF1F3864"/>
      <name val="Arial"/>
      <charset val="1"/>
    </font>
    <font>
      <b/>
      <sz val="10"/>
      <color rgb="FFFFFFFF"/>
      <name val="Arial"/>
      <charset val="1"/>
    </font>
    <font>
      <b/>
      <sz val="10"/>
      <color rgb="FF222222"/>
      <name val="Arial"/>
      <charset val="1"/>
    </font>
    <font>
      <sz val="10"/>
      <color rgb="FF000000"/>
      <name val="Arial"/>
      <charset val="1"/>
    </font>
    <font>
      <b/>
      <sz val="10"/>
      <color rgb="FF0070C0"/>
      <name val="Arial"/>
      <charset val="1"/>
    </font>
    <font>
      <sz val="10"/>
      <color rgb="FF006100"/>
      <name val="Arial"/>
      <charset val="1"/>
    </font>
    <font>
      <b/>
      <sz val="14"/>
      <color rgb="FF1F3864"/>
      <name val="Arial"/>
      <charset val="1"/>
    </font>
    <font>
      <sz val="10"/>
      <color rgb="FF333333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EF3FB"/>
        <bgColor rgb="FFF2F2F2"/>
      </patternFill>
    </fill>
    <fill>
      <patternFill patternType="solid">
        <fgColor rgb="FFF2F2F2"/>
        <bgColor rgb="FFEEF3FB"/>
      </patternFill>
    </fill>
    <fill>
      <patternFill patternType="solid">
        <fgColor rgb="FFFFFFFF"/>
        <bgColor rgb="FFF2F2F2"/>
      </patternFill>
    </fill>
    <fill>
      <patternFill patternType="solid">
        <fgColor rgb="FF2E5AA8"/>
        <bgColor rgb="FF4472C4"/>
      </patternFill>
    </fill>
    <fill>
      <patternFill patternType="solid">
        <fgColor rgb="FFD9E2F3"/>
        <bgColor rgb="FFD9D9D9"/>
      </patternFill>
    </fill>
    <fill>
      <patternFill patternType="solid">
        <fgColor rgb="FFFFF2CC"/>
        <bgColor rgb="FFF2F2F2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medium">
        <color rgb="FF1F3864"/>
      </bottom>
      <diagonal/>
    </border>
    <border>
      <left style="thin">
        <color rgb="FFD9D9D9"/>
      </left>
      <right style="thin">
        <color rgb="FFD9D9D9"/>
      </right>
      <top style="medium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3" fillId="0" borderId="0" xfId="0" applyFont="1" applyAlignment="1">
      <alignment horizontal="left" vertical="center" wrapText="1"/>
    </xf>
    <xf numFmtId="0" fontId="3" fillId="8" borderId="0" xfId="0" applyFont="1" applyFill="1" applyAlignment="1">
      <alignment horizontal="left" vertical="center" wrapText="1"/>
    </xf>
    <xf numFmtId="0" fontId="2" fillId="0" borderId="0" xfId="0" applyFont="1"/>
    <xf numFmtId="0" fontId="1" fillId="0" borderId="0" xfId="0" applyFont="1"/>
    <xf numFmtId="0" fontId="5" fillId="0" borderId="0" xfId="0" applyFont="1" applyAlignment="1">
      <alignment horizontal="left" vertical="center" wrapText="1"/>
    </xf>
    <xf numFmtId="164" fontId="7" fillId="5" borderId="1" xfId="0" applyNumberFormat="1" applyFont="1" applyFill="1" applyBorder="1" applyAlignment="1">
      <alignment horizontal="center" vertical="center" wrapText="1"/>
    </xf>
    <xf numFmtId="3" fontId="7" fillId="5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top" wrapText="1"/>
    </xf>
    <xf numFmtId="0" fontId="4" fillId="2" borderId="0" xfId="0" applyFont="1" applyFill="1" applyAlignment="1">
      <alignment horizontal="left" vertical="center" wrapText="1"/>
    </xf>
    <xf numFmtId="0" fontId="0" fillId="2" borderId="0" xfId="0" applyFill="1"/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wrapText="1"/>
    </xf>
    <xf numFmtId="3" fontId="10" fillId="4" borderId="1" xfId="0" applyNumberFormat="1" applyFont="1" applyFill="1" applyBorder="1" applyAlignment="1">
      <alignment horizontal="center" vertical="center" wrapText="1"/>
    </xf>
    <xf numFmtId="165" fontId="10" fillId="4" borderId="1" xfId="0" applyNumberFormat="1" applyFont="1" applyFill="1" applyBorder="1" applyAlignment="1">
      <alignment horizontal="center" vertical="center" wrapText="1"/>
    </xf>
    <xf numFmtId="164" fontId="10" fillId="4" borderId="1" xfId="0" applyNumberFormat="1" applyFont="1" applyFill="1" applyBorder="1" applyAlignment="1">
      <alignment horizontal="center" vertical="center" wrapText="1"/>
    </xf>
    <xf numFmtId="166" fontId="10" fillId="4" borderId="1" xfId="0" applyNumberFormat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/>
    </xf>
    <xf numFmtId="3" fontId="10" fillId="5" borderId="1" xfId="0" applyNumberFormat="1" applyFont="1" applyFill="1" applyBorder="1" applyAlignment="1">
      <alignment horizontal="center" vertical="center" wrapText="1"/>
    </xf>
    <xf numFmtId="165" fontId="10" fillId="5" borderId="1" xfId="0" applyNumberFormat="1" applyFont="1" applyFill="1" applyBorder="1" applyAlignment="1">
      <alignment horizontal="center" vertical="center" wrapText="1"/>
    </xf>
    <xf numFmtId="164" fontId="10" fillId="5" borderId="1" xfId="0" applyNumberFormat="1" applyFont="1" applyFill="1" applyBorder="1" applyAlignment="1">
      <alignment horizontal="center" vertical="center" wrapText="1"/>
    </xf>
    <xf numFmtId="166" fontId="10" fillId="5" borderId="1" xfId="0" applyNumberFormat="1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left" vertical="center" wrapText="1"/>
    </xf>
    <xf numFmtId="3" fontId="9" fillId="7" borderId="3" xfId="0" applyNumberFormat="1" applyFont="1" applyFill="1" applyBorder="1" applyAlignment="1">
      <alignment horizontal="center" vertical="center" wrapText="1"/>
    </xf>
    <xf numFmtId="165" fontId="9" fillId="7" borderId="3" xfId="0" applyNumberFormat="1" applyFont="1" applyFill="1" applyBorder="1" applyAlignment="1">
      <alignment horizontal="center" vertical="center" wrapText="1"/>
    </xf>
    <xf numFmtId="164" fontId="9" fillId="7" borderId="3" xfId="0" applyNumberFormat="1" applyFont="1" applyFill="1" applyBorder="1" applyAlignment="1">
      <alignment horizontal="center" vertical="center" wrapText="1"/>
    </xf>
    <xf numFmtId="166" fontId="9" fillId="7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11" fillId="0" borderId="0" xfId="0" applyFont="1"/>
    <xf numFmtId="0" fontId="10" fillId="0" borderId="0" xfId="0" applyFont="1"/>
    <xf numFmtId="0" fontId="12" fillId="0" borderId="0" xfId="0" applyFont="1"/>
    <xf numFmtId="0" fontId="5" fillId="8" borderId="0" xfId="0" applyFont="1" applyFill="1"/>
    <xf numFmtId="164" fontId="11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164" fontId="11" fillId="5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left" vertical="center" wrapText="1"/>
    </xf>
    <xf numFmtId="165" fontId="11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165" fontId="11" fillId="5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center" wrapText="1"/>
    </xf>
    <xf numFmtId="165" fontId="12" fillId="4" borderId="1" xfId="0" applyNumberFormat="1" applyFont="1" applyFill="1" applyBorder="1" applyAlignment="1">
      <alignment horizontal="right" vertical="center"/>
    </xf>
    <xf numFmtId="165" fontId="10" fillId="4" borderId="1" xfId="0" applyNumberFormat="1" applyFont="1" applyFill="1" applyBorder="1" applyAlignment="1">
      <alignment horizontal="right" vertical="center"/>
    </xf>
    <xf numFmtId="164" fontId="10" fillId="4" borderId="1" xfId="0" applyNumberFormat="1" applyFont="1" applyFill="1" applyBorder="1" applyAlignment="1">
      <alignment horizontal="right" vertical="center"/>
    </xf>
    <xf numFmtId="167" fontId="10" fillId="4" borderId="1" xfId="0" applyNumberFormat="1" applyFont="1" applyFill="1" applyBorder="1" applyAlignment="1">
      <alignment horizontal="right" vertical="center"/>
    </xf>
    <xf numFmtId="0" fontId="12" fillId="5" borderId="1" xfId="0" applyFont="1" applyFill="1" applyBorder="1" applyAlignment="1">
      <alignment horizontal="left" vertical="center" wrapText="1"/>
    </xf>
    <xf numFmtId="165" fontId="12" fillId="5" borderId="1" xfId="0" applyNumberFormat="1" applyFont="1" applyFill="1" applyBorder="1" applyAlignment="1">
      <alignment horizontal="right" vertical="center"/>
    </xf>
    <xf numFmtId="165" fontId="10" fillId="5" borderId="1" xfId="0" applyNumberFormat="1" applyFont="1" applyFill="1" applyBorder="1" applyAlignment="1">
      <alignment horizontal="right" vertical="center"/>
    </xf>
    <xf numFmtId="164" fontId="10" fillId="5" borderId="1" xfId="0" applyNumberFormat="1" applyFont="1" applyFill="1" applyBorder="1" applyAlignment="1">
      <alignment horizontal="right" vertical="center"/>
    </xf>
    <xf numFmtId="167" fontId="10" fillId="5" borderId="1" xfId="0" applyNumberFormat="1" applyFont="1" applyFill="1" applyBorder="1" applyAlignment="1">
      <alignment horizontal="right" vertical="center"/>
    </xf>
    <xf numFmtId="0" fontId="9" fillId="4" borderId="1" xfId="0" applyFont="1" applyFill="1" applyBorder="1"/>
    <xf numFmtId="165" fontId="11" fillId="4" borderId="1" xfId="0" applyNumberFormat="1" applyFont="1" applyFill="1" applyBorder="1" applyAlignment="1">
      <alignment horizontal="center" vertical="center" wrapText="1"/>
    </xf>
    <xf numFmtId="0" fontId="9" fillId="5" borderId="1" xfId="0" applyFont="1" applyFill="1" applyBorder="1"/>
    <xf numFmtId="0" fontId="8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4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548235"/>
      <rgbColor rgb="FF800080"/>
      <rgbColor rgb="FF008080"/>
      <rgbColor rgb="FFB4C6E7"/>
      <rgbColor rgb="FF808080"/>
      <rgbColor rgb="FF9999FF"/>
      <rgbColor rgb="FF993366"/>
      <rgbColor rgb="FFFFF2CC"/>
      <rgbColor rgb="FFEEF3FB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9E2F3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222222"/>
      <rgbColor rgb="FF993300"/>
      <rgbColor rgb="FF993366"/>
      <rgbColor rgb="FF2E5AA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2:I55"/>
  <sheetViews>
    <sheetView showGridLines="0" zoomScaleNormal="100" workbookViewId="0">
      <pane ySplit="5" topLeftCell="A6" activePane="bottomLeft" state="frozen"/>
      <selection pane="bottomLeft"/>
    </sheetView>
  </sheetViews>
  <sheetFormatPr baseColWidth="10" defaultColWidth="8.6640625" defaultRowHeight="15" x14ac:dyDescent="0.2"/>
  <cols>
    <col min="1" max="1" width="2" customWidth="1"/>
    <col min="2" max="9" width="22" customWidth="1"/>
    <col min="10" max="10" width="2" customWidth="1"/>
  </cols>
  <sheetData>
    <row r="2" spans="2:9" ht="33.75" customHeight="1" x14ac:dyDescent="0.2">
      <c r="B2" s="14" t="s">
        <v>0</v>
      </c>
      <c r="C2" s="14"/>
      <c r="D2" s="14"/>
      <c r="E2" s="14"/>
      <c r="F2" s="14"/>
      <c r="G2" s="14"/>
      <c r="H2" s="14"/>
      <c r="I2" s="14"/>
    </row>
    <row r="3" spans="2:9" ht="15" customHeight="1" x14ac:dyDescent="0.2">
      <c r="B3" s="13" t="s">
        <v>1</v>
      </c>
      <c r="C3" s="13"/>
      <c r="D3" s="13"/>
      <c r="E3" s="13"/>
      <c r="F3" s="13"/>
      <c r="G3" s="13"/>
      <c r="H3" s="13"/>
      <c r="I3" s="13"/>
    </row>
    <row r="4" spans="2:9" ht="15" customHeight="1" x14ac:dyDescent="0.2">
      <c r="B4" s="12" t="s">
        <v>2</v>
      </c>
      <c r="C4" s="12"/>
      <c r="D4" s="12"/>
      <c r="E4" s="12"/>
      <c r="F4" s="12"/>
      <c r="G4" s="12"/>
      <c r="H4" s="12"/>
      <c r="I4" s="12"/>
    </row>
    <row r="5" spans="2:9" ht="3" customHeight="1" x14ac:dyDescent="0.2">
      <c r="B5" s="11"/>
      <c r="C5" s="11"/>
      <c r="D5" s="11"/>
      <c r="E5" s="11"/>
      <c r="F5" s="11"/>
      <c r="G5" s="11"/>
      <c r="H5" s="11"/>
      <c r="I5" s="11"/>
    </row>
    <row r="7" spans="2:9" ht="15" customHeight="1" x14ac:dyDescent="0.2">
      <c r="B7" s="10" t="s">
        <v>3</v>
      </c>
      <c r="C7" s="10"/>
      <c r="D7" s="10"/>
      <c r="E7" s="10"/>
      <c r="F7" s="10"/>
      <c r="G7" s="10"/>
      <c r="H7" s="10"/>
      <c r="I7" s="10"/>
    </row>
    <row r="8" spans="2:9" ht="15" customHeight="1" x14ac:dyDescent="0.2">
      <c r="B8" s="9" t="s">
        <v>4</v>
      </c>
      <c r="C8" s="9"/>
      <c r="D8" s="9"/>
      <c r="E8" s="9"/>
      <c r="F8" s="9"/>
      <c r="G8" s="9"/>
      <c r="H8" s="9"/>
      <c r="I8" s="9"/>
    </row>
    <row r="9" spans="2:9" x14ac:dyDescent="0.2">
      <c r="B9" s="9"/>
      <c r="C9" s="9"/>
      <c r="D9" s="9"/>
      <c r="E9" s="9"/>
      <c r="F9" s="9"/>
      <c r="G9" s="9"/>
      <c r="H9" s="9"/>
      <c r="I9" s="9"/>
    </row>
    <row r="10" spans="2:9" x14ac:dyDescent="0.2">
      <c r="B10" s="9"/>
      <c r="C10" s="9"/>
      <c r="D10" s="9"/>
      <c r="E10" s="9"/>
      <c r="F10" s="9"/>
      <c r="G10" s="9"/>
      <c r="H10" s="9"/>
      <c r="I10" s="9"/>
    </row>
    <row r="11" spans="2:9" x14ac:dyDescent="0.2">
      <c r="B11" s="9"/>
      <c r="C11" s="9"/>
      <c r="D11" s="9"/>
      <c r="E11" s="9"/>
      <c r="F11" s="9"/>
      <c r="G11" s="9"/>
      <c r="H11" s="9"/>
      <c r="I11" s="9"/>
    </row>
    <row r="12" spans="2:9" x14ac:dyDescent="0.2">
      <c r="B12" s="9"/>
      <c r="C12" s="9"/>
      <c r="D12" s="9"/>
      <c r="E12" s="9"/>
      <c r="F12" s="9"/>
      <c r="G12" s="9"/>
      <c r="H12" s="9"/>
      <c r="I12" s="9"/>
    </row>
    <row r="14" spans="2:9" ht="15" customHeight="1" x14ac:dyDescent="0.2">
      <c r="B14" s="10" t="s">
        <v>5</v>
      </c>
      <c r="C14" s="10"/>
      <c r="D14" s="10"/>
      <c r="E14" s="10"/>
      <c r="F14" s="10"/>
      <c r="G14" s="10"/>
      <c r="H14" s="10"/>
      <c r="I14" s="10"/>
    </row>
    <row r="16" spans="2:9" ht="21.75" customHeight="1" x14ac:dyDescent="0.2">
      <c r="B16" s="8" t="s">
        <v>6</v>
      </c>
      <c r="C16" s="8"/>
      <c r="D16" s="8" t="s">
        <v>7</v>
      </c>
      <c r="E16" s="8"/>
      <c r="F16" s="8" t="s">
        <v>8</v>
      </c>
      <c r="G16" s="8"/>
      <c r="H16" s="8" t="s">
        <v>9</v>
      </c>
      <c r="I16" s="8"/>
    </row>
    <row r="17" spans="2:9" ht="27.75" customHeight="1" x14ac:dyDescent="0.2">
      <c r="B17" s="7">
        <f>COUNTA('Product Catalog'!B4:B235)</f>
        <v>232</v>
      </c>
      <c r="C17" s="7"/>
      <c r="D17" s="7">
        <f>COUNTA('Tariff Rates'!B5:B25)</f>
        <v>21</v>
      </c>
      <c r="E17" s="7"/>
      <c r="F17" s="6">
        <f>AVERAGE('Tariff Rates'!C5:C25)</f>
        <v>3.0952380952380953E-2</v>
      </c>
      <c r="G17" s="6"/>
      <c r="H17" s="6">
        <f>AVERAGE('Tariff Rates'!E5:E25)</f>
        <v>0.21238095238095239</v>
      </c>
      <c r="I17" s="6"/>
    </row>
    <row r="18" spans="2:9" x14ac:dyDescent="0.2">
      <c r="B18" s="7"/>
      <c r="C18" s="7"/>
      <c r="D18" s="7"/>
      <c r="E18" s="7"/>
      <c r="F18" s="6"/>
      <c r="G18" s="6"/>
      <c r="H18" s="6"/>
      <c r="I18" s="6"/>
    </row>
    <row r="21" spans="2:9" ht="15" customHeight="1" x14ac:dyDescent="0.2">
      <c r="B21" s="10" t="s">
        <v>10</v>
      </c>
      <c r="C21" s="10"/>
      <c r="D21" s="10"/>
      <c r="E21" s="10"/>
      <c r="F21" s="10"/>
      <c r="G21" s="10"/>
      <c r="H21" s="10"/>
      <c r="I21" s="10"/>
    </row>
    <row r="22" spans="2:9" x14ac:dyDescent="0.2">
      <c r="B22" s="15" t="s">
        <v>11</v>
      </c>
      <c r="C22" s="15" t="s">
        <v>12</v>
      </c>
      <c r="D22" s="15" t="s">
        <v>13</v>
      </c>
      <c r="E22" s="15" t="s">
        <v>14</v>
      </c>
      <c r="F22" s="15" t="s">
        <v>15</v>
      </c>
      <c r="G22" s="15" t="s">
        <v>16</v>
      </c>
      <c r="H22" s="15" t="s">
        <v>17</v>
      </c>
      <c r="I22" s="15" t="s">
        <v>18</v>
      </c>
    </row>
    <row r="23" spans="2:9" x14ac:dyDescent="0.2">
      <c r="B23" s="16" t="s">
        <v>19</v>
      </c>
      <c r="C23" s="17">
        <f>COUNTIF('Product Catalog'!E4:E235, B23)</f>
        <v>1</v>
      </c>
      <c r="D23" s="18">
        <f>IFERROR(AVERAGEIF('Product Catalog'!E4:E235, B23, 'Product Catalog'!F4:F235),0)</f>
        <v>42.51</v>
      </c>
      <c r="E23" s="19">
        <f>VLOOKUP(B23, 'Tariff Rates'!B:E, 2, FALSE())</f>
        <v>0.05</v>
      </c>
      <c r="F23" s="19">
        <f>VLOOKUP(B23, 'Tariff Rates'!B:E, 3, FALSE())</f>
        <v>0.15</v>
      </c>
      <c r="G23" s="19">
        <f>VLOOKUP(B23, 'Tariff Rates'!B:E, 4, FALSE())</f>
        <v>0.2</v>
      </c>
      <c r="H23" s="20">
        <f t="shared" ref="H23:H43" si="0">D23*(F23-E23)*C23</f>
        <v>4.2509999999999994</v>
      </c>
      <c r="I23" s="20">
        <f t="shared" ref="I23:I43" si="1">D23*(G23-E23)*C23</f>
        <v>6.3765000000000009</v>
      </c>
    </row>
    <row r="24" spans="2:9" x14ac:dyDescent="0.2">
      <c r="B24" s="21" t="s">
        <v>20</v>
      </c>
      <c r="C24" s="22">
        <f>COUNTIF('Product Catalog'!E4:E235, B24)</f>
        <v>1</v>
      </c>
      <c r="D24" s="23">
        <f>IFERROR(AVERAGEIF('Product Catalog'!E4:E235, B24, 'Product Catalog'!F4:F235),0)</f>
        <v>22.49</v>
      </c>
      <c r="E24" s="24">
        <f>VLOOKUP(B24, 'Tariff Rates'!B:E, 2, FALSE())</f>
        <v>0</v>
      </c>
      <c r="F24" s="24">
        <f>VLOOKUP(B24, 'Tariff Rates'!B:E, 3, FALSE())</f>
        <v>0.1</v>
      </c>
      <c r="G24" s="24">
        <f>VLOOKUP(B24, 'Tariff Rates'!B:E, 4, FALSE())</f>
        <v>0.25</v>
      </c>
      <c r="H24" s="25">
        <f t="shared" si="0"/>
        <v>2.2490000000000001</v>
      </c>
      <c r="I24" s="25">
        <f t="shared" si="1"/>
        <v>5.6224999999999996</v>
      </c>
    </row>
    <row r="25" spans="2:9" x14ac:dyDescent="0.2">
      <c r="B25" s="16" t="s">
        <v>21</v>
      </c>
      <c r="C25" s="17">
        <f>COUNTIF('Product Catalog'!E4:E235, B25)</f>
        <v>2</v>
      </c>
      <c r="D25" s="18">
        <f>IFERROR(AVERAGEIF('Product Catalog'!E4:E235, B25, 'Product Catalog'!F4:F235),0)</f>
        <v>32.875</v>
      </c>
      <c r="E25" s="19">
        <f>VLOOKUP(B25, 'Tariff Rates'!B:E, 2, FALSE())</f>
        <v>0</v>
      </c>
      <c r="F25" s="19">
        <f>VLOOKUP(B25, 'Tariff Rates'!B:E, 3, FALSE())</f>
        <v>0.1</v>
      </c>
      <c r="G25" s="19">
        <f>VLOOKUP(B25, 'Tariff Rates'!B:E, 4, FALSE())</f>
        <v>0.15</v>
      </c>
      <c r="H25" s="20">
        <f t="shared" si="0"/>
        <v>6.5750000000000002</v>
      </c>
      <c r="I25" s="20">
        <f t="shared" si="1"/>
        <v>9.8624999999999989</v>
      </c>
    </row>
    <row r="26" spans="2:9" x14ac:dyDescent="0.2">
      <c r="B26" s="21" t="s">
        <v>22</v>
      </c>
      <c r="C26" s="22">
        <f>COUNTIF('Product Catalog'!E4:E235, B26)</f>
        <v>27</v>
      </c>
      <c r="D26" s="23">
        <f>IFERROR(AVERAGEIF('Product Catalog'!E4:E235, B26, 'Product Catalog'!F4:F235),0)</f>
        <v>49.168888888888894</v>
      </c>
      <c r="E26" s="24">
        <f>VLOOKUP(B26, 'Tariff Rates'!B:E, 2, FALSE())</f>
        <v>0.15</v>
      </c>
      <c r="F26" s="24">
        <f>VLOOKUP(B26, 'Tariff Rates'!B:E, 3, FALSE())</f>
        <v>0.3</v>
      </c>
      <c r="G26" s="24">
        <f>VLOOKUP(B26, 'Tariff Rates'!B:E, 4, FALSE())</f>
        <v>0.5</v>
      </c>
      <c r="H26" s="25">
        <f t="shared" si="0"/>
        <v>199.13400000000001</v>
      </c>
      <c r="I26" s="25">
        <f t="shared" si="1"/>
        <v>464.64600000000007</v>
      </c>
    </row>
    <row r="27" spans="2:9" x14ac:dyDescent="0.2">
      <c r="B27" s="16" t="s">
        <v>23</v>
      </c>
      <c r="C27" s="17">
        <f>COUNTIF('Product Catalog'!E4:E235, B27)</f>
        <v>1</v>
      </c>
      <c r="D27" s="18">
        <f>IFERROR(AVERAGEIF('Product Catalog'!E4:E235, B27, 'Product Catalog'!F4:F235),0)</f>
        <v>45.25</v>
      </c>
      <c r="E27" s="19">
        <f>VLOOKUP(B27, 'Tariff Rates'!B:E, 2, FALSE())</f>
        <v>0.05</v>
      </c>
      <c r="F27" s="19">
        <f>VLOOKUP(B27, 'Tariff Rates'!B:E, 3, FALSE())</f>
        <v>0.15</v>
      </c>
      <c r="G27" s="19">
        <f>VLOOKUP(B27, 'Tariff Rates'!B:E, 4, FALSE())</f>
        <v>0.2</v>
      </c>
      <c r="H27" s="20">
        <f t="shared" si="0"/>
        <v>4.5249999999999995</v>
      </c>
      <c r="I27" s="20">
        <f t="shared" si="1"/>
        <v>6.7875000000000014</v>
      </c>
    </row>
    <row r="28" spans="2:9" x14ac:dyDescent="0.2">
      <c r="B28" s="21" t="s">
        <v>24</v>
      </c>
      <c r="C28" s="22">
        <f>COUNTIF('Product Catalog'!E4:E235, B28)</f>
        <v>3</v>
      </c>
      <c r="D28" s="23">
        <f>IFERROR(AVERAGEIF('Product Catalog'!E4:E235, B28, 'Product Catalog'!F4:F235),0)</f>
        <v>19.653333333333336</v>
      </c>
      <c r="E28" s="24">
        <f>VLOOKUP(B28, 'Tariff Rates'!B:E, 2, FALSE())</f>
        <v>0</v>
      </c>
      <c r="F28" s="24">
        <f>VLOOKUP(B28, 'Tariff Rates'!B:E, 3, FALSE())</f>
        <v>0.1</v>
      </c>
      <c r="G28" s="24">
        <f>VLOOKUP(B28, 'Tariff Rates'!B:E, 4, FALSE())</f>
        <v>0.15</v>
      </c>
      <c r="H28" s="25">
        <f t="shared" si="0"/>
        <v>5.8960000000000008</v>
      </c>
      <c r="I28" s="25">
        <f t="shared" si="1"/>
        <v>8.8440000000000012</v>
      </c>
    </row>
    <row r="29" spans="2:9" x14ac:dyDescent="0.2">
      <c r="B29" s="16" t="s">
        <v>25</v>
      </c>
      <c r="C29" s="17">
        <f>COUNTIF('Product Catalog'!E4:E235, B29)</f>
        <v>7</v>
      </c>
      <c r="D29" s="18">
        <f>IFERROR(AVERAGEIF('Product Catalog'!E4:E235, B29, 'Product Catalog'!F4:F235),0)</f>
        <v>24.435714285714287</v>
      </c>
      <c r="E29" s="19">
        <f>VLOOKUP(B29, 'Tariff Rates'!B:E, 2, FALSE())</f>
        <v>0.05</v>
      </c>
      <c r="F29" s="19">
        <f>VLOOKUP(B29, 'Tariff Rates'!B:E, 3, FALSE())</f>
        <v>0.15</v>
      </c>
      <c r="G29" s="19">
        <f>VLOOKUP(B29, 'Tariff Rates'!B:E, 4, FALSE())</f>
        <v>0.2</v>
      </c>
      <c r="H29" s="20">
        <f t="shared" si="0"/>
        <v>17.105</v>
      </c>
      <c r="I29" s="20">
        <f t="shared" si="1"/>
        <v>25.657500000000006</v>
      </c>
    </row>
    <row r="30" spans="2:9" x14ac:dyDescent="0.2">
      <c r="B30" s="21" t="s">
        <v>26</v>
      </c>
      <c r="C30" s="22">
        <f>COUNTIF('Product Catalog'!E4:E235, B30)</f>
        <v>1</v>
      </c>
      <c r="D30" s="23">
        <f>IFERROR(AVERAGEIF('Product Catalog'!E4:E235, B30, 'Product Catalog'!F4:F235),0)</f>
        <v>62.33</v>
      </c>
      <c r="E30" s="24">
        <f>VLOOKUP(B30, 'Tariff Rates'!B:E, 2, FALSE())</f>
        <v>0.05</v>
      </c>
      <c r="F30" s="24">
        <f>VLOOKUP(B30, 'Tariff Rates'!B:E, 3, FALSE())</f>
        <v>0.15</v>
      </c>
      <c r="G30" s="24">
        <f>VLOOKUP(B30, 'Tariff Rates'!B:E, 4, FALSE())</f>
        <v>0.2</v>
      </c>
      <c r="H30" s="25">
        <f t="shared" si="0"/>
        <v>6.2329999999999997</v>
      </c>
      <c r="I30" s="25">
        <f t="shared" si="1"/>
        <v>9.3495000000000008</v>
      </c>
    </row>
    <row r="31" spans="2:9" x14ac:dyDescent="0.2">
      <c r="B31" s="16" t="s">
        <v>27</v>
      </c>
      <c r="C31" s="17">
        <f>COUNTIF('Product Catalog'!E4:E235, B31)</f>
        <v>2</v>
      </c>
      <c r="D31" s="18">
        <f>IFERROR(AVERAGEIF('Product Catalog'!E4:E235, B31, 'Product Catalog'!F4:F235),0)</f>
        <v>32.56</v>
      </c>
      <c r="E31" s="19">
        <f>VLOOKUP(B31, 'Tariff Rates'!B:E, 2, FALSE())</f>
        <v>0</v>
      </c>
      <c r="F31" s="19">
        <f>VLOOKUP(B31, 'Tariff Rates'!B:E, 3, FALSE())</f>
        <v>0.1</v>
      </c>
      <c r="G31" s="19">
        <f>VLOOKUP(B31, 'Tariff Rates'!B:E, 4, FALSE())</f>
        <v>0.15</v>
      </c>
      <c r="H31" s="20">
        <f t="shared" si="0"/>
        <v>6.5120000000000005</v>
      </c>
      <c r="I31" s="20">
        <f t="shared" si="1"/>
        <v>9.7680000000000007</v>
      </c>
    </row>
    <row r="32" spans="2:9" x14ac:dyDescent="0.2">
      <c r="B32" s="21" t="s">
        <v>28</v>
      </c>
      <c r="C32" s="22">
        <f>COUNTIF('Product Catalog'!E4:E235, B32)</f>
        <v>7</v>
      </c>
      <c r="D32" s="23">
        <f>IFERROR(AVERAGEIF('Product Catalog'!E4:E235, B32, 'Product Catalog'!F4:F235),0)</f>
        <v>33.987142857142857</v>
      </c>
      <c r="E32" s="24">
        <f>VLOOKUP(B32, 'Tariff Rates'!B:E, 2, FALSE())</f>
        <v>0.05</v>
      </c>
      <c r="F32" s="24">
        <f>VLOOKUP(B32, 'Tariff Rates'!B:E, 3, FALSE())</f>
        <v>0.15</v>
      </c>
      <c r="G32" s="24">
        <f>VLOOKUP(B32, 'Tariff Rates'!B:E, 4, FALSE())</f>
        <v>0.2</v>
      </c>
      <c r="H32" s="25">
        <f t="shared" si="0"/>
        <v>23.791</v>
      </c>
      <c r="I32" s="25">
        <f t="shared" si="1"/>
        <v>35.686500000000002</v>
      </c>
    </row>
    <row r="33" spans="2:9" x14ac:dyDescent="0.2">
      <c r="B33" s="16" t="s">
        <v>29</v>
      </c>
      <c r="C33" s="17">
        <f>COUNTIF('Product Catalog'!E4:E235, B33)</f>
        <v>5</v>
      </c>
      <c r="D33" s="18">
        <f>IFERROR(AVERAGEIF('Product Catalog'!E4:E235, B33, 'Product Catalog'!F4:F235),0)</f>
        <v>83.918000000000006</v>
      </c>
      <c r="E33" s="19">
        <f>VLOOKUP(B33, 'Tariff Rates'!B:E, 2, FALSE())</f>
        <v>0</v>
      </c>
      <c r="F33" s="19">
        <f>VLOOKUP(B33, 'Tariff Rates'!B:E, 3, FALSE())</f>
        <v>0.1</v>
      </c>
      <c r="G33" s="19">
        <f>VLOOKUP(B33, 'Tariff Rates'!B:E, 4, FALSE())</f>
        <v>0.15</v>
      </c>
      <c r="H33" s="20">
        <f t="shared" si="0"/>
        <v>41.95900000000001</v>
      </c>
      <c r="I33" s="20">
        <f t="shared" si="1"/>
        <v>62.938499999999998</v>
      </c>
    </row>
    <row r="34" spans="2:9" x14ac:dyDescent="0.2">
      <c r="B34" s="21" t="s">
        <v>30</v>
      </c>
      <c r="C34" s="22">
        <f>COUNTIF('Product Catalog'!E4:E235, B34)</f>
        <v>53</v>
      </c>
      <c r="D34" s="23">
        <f>IFERROR(AVERAGEIF('Product Catalog'!E4:E235, B34, 'Product Catalog'!F4:F235),0)</f>
        <v>22.981886792452826</v>
      </c>
      <c r="E34" s="24">
        <f>VLOOKUP(B34, 'Tariff Rates'!B:E, 2, FALSE())</f>
        <v>0</v>
      </c>
      <c r="F34" s="24">
        <f>VLOOKUP(B34, 'Tariff Rates'!B:E, 3, FALSE())</f>
        <v>0.1</v>
      </c>
      <c r="G34" s="24">
        <f>VLOOKUP(B34, 'Tariff Rates'!B:E, 4, FALSE())</f>
        <v>0.25</v>
      </c>
      <c r="H34" s="25">
        <f t="shared" si="0"/>
        <v>121.80399999999999</v>
      </c>
      <c r="I34" s="25">
        <f t="shared" si="1"/>
        <v>304.50999999999993</v>
      </c>
    </row>
    <row r="35" spans="2:9" x14ac:dyDescent="0.2">
      <c r="B35" s="16" t="s">
        <v>31</v>
      </c>
      <c r="C35" s="17">
        <f>COUNTIF('Product Catalog'!E4:E235, B35)</f>
        <v>1</v>
      </c>
      <c r="D35" s="18">
        <f>IFERROR(AVERAGEIF('Product Catalog'!E4:E235, B35, 'Product Catalog'!F4:F235),0)</f>
        <v>37.18</v>
      </c>
      <c r="E35" s="19">
        <f>VLOOKUP(B35, 'Tariff Rates'!B:E, 2, FALSE())</f>
        <v>0</v>
      </c>
      <c r="F35" s="19">
        <f>VLOOKUP(B35, 'Tariff Rates'!B:E, 3, FALSE())</f>
        <v>0.1</v>
      </c>
      <c r="G35" s="19">
        <f>VLOOKUP(B35, 'Tariff Rates'!B:E, 4, FALSE())</f>
        <v>0.15</v>
      </c>
      <c r="H35" s="20">
        <f t="shared" si="0"/>
        <v>3.718</v>
      </c>
      <c r="I35" s="20">
        <f t="shared" si="1"/>
        <v>5.577</v>
      </c>
    </row>
    <row r="36" spans="2:9" x14ac:dyDescent="0.2">
      <c r="B36" s="21" t="s">
        <v>32</v>
      </c>
      <c r="C36" s="22">
        <f>COUNTIF('Product Catalog'!E4:E235, B36)</f>
        <v>3</v>
      </c>
      <c r="D36" s="23">
        <f>IFERROR(AVERAGEIF('Product Catalog'!E4:E235, B36, 'Product Catalog'!F4:F235),0)</f>
        <v>39.96</v>
      </c>
      <c r="E36" s="24">
        <f>VLOOKUP(B36, 'Tariff Rates'!B:E, 2, FALSE())</f>
        <v>0</v>
      </c>
      <c r="F36" s="24">
        <f>VLOOKUP(B36, 'Tariff Rates'!B:E, 3, FALSE())</f>
        <v>0.1</v>
      </c>
      <c r="G36" s="24">
        <f>VLOOKUP(B36, 'Tariff Rates'!B:E, 4, FALSE())</f>
        <v>0.15</v>
      </c>
      <c r="H36" s="25">
        <f t="shared" si="0"/>
        <v>11.988000000000001</v>
      </c>
      <c r="I36" s="25">
        <f t="shared" si="1"/>
        <v>17.981999999999999</v>
      </c>
    </row>
    <row r="37" spans="2:9" x14ac:dyDescent="0.2">
      <c r="B37" s="16" t="s">
        <v>33</v>
      </c>
      <c r="C37" s="17">
        <f>COUNTIF('Product Catalog'!E4:E235, B37)</f>
        <v>1</v>
      </c>
      <c r="D37" s="18">
        <f>IFERROR(AVERAGEIF('Product Catalog'!E4:E235, B37, 'Product Catalog'!F4:F235),0)</f>
        <v>36.619999999999997</v>
      </c>
      <c r="E37" s="19">
        <f>VLOOKUP(B37, 'Tariff Rates'!B:E, 2, FALSE())</f>
        <v>0.05</v>
      </c>
      <c r="F37" s="19">
        <f>VLOOKUP(B37, 'Tariff Rates'!B:E, 3, FALSE())</f>
        <v>0.15</v>
      </c>
      <c r="G37" s="19">
        <f>VLOOKUP(B37, 'Tariff Rates'!B:E, 4, FALSE())</f>
        <v>0.2</v>
      </c>
      <c r="H37" s="20">
        <f t="shared" si="0"/>
        <v>3.6619999999999995</v>
      </c>
      <c r="I37" s="20">
        <f t="shared" si="1"/>
        <v>5.4930000000000003</v>
      </c>
    </row>
    <row r="38" spans="2:9" x14ac:dyDescent="0.2">
      <c r="B38" s="21" t="s">
        <v>34</v>
      </c>
      <c r="C38" s="22">
        <f>COUNTIF('Product Catalog'!E4:E235, B38)</f>
        <v>7</v>
      </c>
      <c r="D38" s="23">
        <f>IFERROR(AVERAGEIF('Product Catalog'!E4:E235, B38, 'Product Catalog'!F4:F235),0)</f>
        <v>36.131428571428565</v>
      </c>
      <c r="E38" s="24">
        <f>VLOOKUP(B38, 'Tariff Rates'!B:E, 2, FALSE())</f>
        <v>0</v>
      </c>
      <c r="F38" s="24">
        <f>VLOOKUP(B38, 'Tariff Rates'!B:E, 3, FALSE())</f>
        <v>0.1</v>
      </c>
      <c r="G38" s="24">
        <f>VLOOKUP(B38, 'Tariff Rates'!B:E, 4, FALSE())</f>
        <v>0.15</v>
      </c>
      <c r="H38" s="25">
        <f t="shared" si="0"/>
        <v>25.291999999999994</v>
      </c>
      <c r="I38" s="25">
        <f t="shared" si="1"/>
        <v>37.937999999999988</v>
      </c>
    </row>
    <row r="39" spans="2:9" x14ac:dyDescent="0.2">
      <c r="B39" s="16" t="s">
        <v>35</v>
      </c>
      <c r="C39" s="17">
        <f>COUNTIF('Product Catalog'!E4:E235, B39)</f>
        <v>3</v>
      </c>
      <c r="D39" s="18">
        <f>IFERROR(AVERAGEIF('Product Catalog'!E4:E235, B39, 'Product Catalog'!F4:F235),0)</f>
        <v>110.22333333333334</v>
      </c>
      <c r="E39" s="19">
        <f>VLOOKUP(B39, 'Tariff Rates'!B:E, 2, FALSE())</f>
        <v>0.05</v>
      </c>
      <c r="F39" s="19">
        <f>VLOOKUP(B39, 'Tariff Rates'!B:E, 3, FALSE())</f>
        <v>0.15</v>
      </c>
      <c r="G39" s="19">
        <f>VLOOKUP(B39, 'Tariff Rates'!B:E, 4, FALSE())</f>
        <v>0.2</v>
      </c>
      <c r="H39" s="20">
        <f t="shared" si="0"/>
        <v>33.067</v>
      </c>
      <c r="I39" s="20">
        <f t="shared" si="1"/>
        <v>49.600500000000011</v>
      </c>
    </row>
    <row r="40" spans="2:9" x14ac:dyDescent="0.2">
      <c r="B40" s="21" t="s">
        <v>36</v>
      </c>
      <c r="C40" s="22">
        <f>COUNTIF('Product Catalog'!E4:E235, B40)</f>
        <v>11</v>
      </c>
      <c r="D40" s="23">
        <f>IFERROR(AVERAGEIF('Product Catalog'!E4:E235, B40, 'Product Catalog'!F4:F235),0)</f>
        <v>52.028181818181821</v>
      </c>
      <c r="E40" s="24">
        <f>VLOOKUP(B40, 'Tariff Rates'!B:E, 2, FALSE())</f>
        <v>0.05</v>
      </c>
      <c r="F40" s="24">
        <f>VLOOKUP(B40, 'Tariff Rates'!B:E, 3, FALSE())</f>
        <v>0.15</v>
      </c>
      <c r="G40" s="24">
        <f>VLOOKUP(B40, 'Tariff Rates'!B:E, 4, FALSE())</f>
        <v>0.25</v>
      </c>
      <c r="H40" s="25">
        <f t="shared" si="0"/>
        <v>57.230999999999995</v>
      </c>
      <c r="I40" s="25">
        <f t="shared" si="1"/>
        <v>114.46200000000002</v>
      </c>
    </row>
    <row r="41" spans="2:9" x14ac:dyDescent="0.2">
      <c r="B41" s="16" t="s">
        <v>37</v>
      </c>
      <c r="C41" s="17">
        <f>COUNTIF('Product Catalog'!E4:E235, B41)</f>
        <v>1</v>
      </c>
      <c r="D41" s="18">
        <f>IFERROR(AVERAGEIF('Product Catalog'!E4:E235, B41, 'Product Catalog'!F4:F235),0)</f>
        <v>50.84</v>
      </c>
      <c r="E41" s="19">
        <f>VLOOKUP(B41, 'Tariff Rates'!B:E, 2, FALSE())</f>
        <v>0.05</v>
      </c>
      <c r="F41" s="19">
        <f>VLOOKUP(B41, 'Tariff Rates'!B:E, 3, FALSE())</f>
        <v>0.2</v>
      </c>
      <c r="G41" s="19">
        <f>VLOOKUP(B41, 'Tariff Rates'!B:E, 4, FALSE())</f>
        <v>0.3</v>
      </c>
      <c r="H41" s="20">
        <f t="shared" si="0"/>
        <v>7.6260000000000012</v>
      </c>
      <c r="I41" s="20">
        <f t="shared" si="1"/>
        <v>12.71</v>
      </c>
    </row>
    <row r="42" spans="2:9" x14ac:dyDescent="0.2">
      <c r="B42" s="21" t="s">
        <v>38</v>
      </c>
      <c r="C42" s="22">
        <f>COUNTIF('Product Catalog'!E4:E235, B42)</f>
        <v>88</v>
      </c>
      <c r="D42" s="23">
        <f>IFERROR(AVERAGEIF('Product Catalog'!E4:E235, B42, 'Product Catalog'!F4:F235),0)</f>
        <v>25.392499999999995</v>
      </c>
      <c r="E42" s="24">
        <f>VLOOKUP(B42, 'Tariff Rates'!B:E, 2, FALSE())</f>
        <v>0</v>
      </c>
      <c r="F42" s="24">
        <f>VLOOKUP(B42, 'Tariff Rates'!B:E, 3, FALSE())</f>
        <v>0</v>
      </c>
      <c r="G42" s="24">
        <f>VLOOKUP(B42, 'Tariff Rates'!B:E, 4, FALSE())</f>
        <v>0</v>
      </c>
      <c r="H42" s="25">
        <f t="shared" si="0"/>
        <v>0</v>
      </c>
      <c r="I42" s="25">
        <f t="shared" si="1"/>
        <v>0</v>
      </c>
    </row>
    <row r="43" spans="2:9" x14ac:dyDescent="0.2">
      <c r="B43" s="16" t="s">
        <v>39</v>
      </c>
      <c r="C43" s="17">
        <f>COUNTIF('Product Catalog'!E4:E235, B43)</f>
        <v>7</v>
      </c>
      <c r="D43" s="18">
        <f>IFERROR(AVERAGEIF('Product Catalog'!E4:E235, B43, 'Product Catalog'!F4:F235),0)</f>
        <v>32.487142857142857</v>
      </c>
      <c r="E43" s="19">
        <f>VLOOKUP(B43, 'Tariff Rates'!B:E, 2, FALSE())</f>
        <v>0.05</v>
      </c>
      <c r="F43" s="19">
        <f>VLOOKUP(B43, 'Tariff Rates'!B:E, 3, FALSE())</f>
        <v>0.2</v>
      </c>
      <c r="G43" s="19">
        <f>VLOOKUP(B43, 'Tariff Rates'!B:E, 4, FALSE())</f>
        <v>0.46</v>
      </c>
      <c r="H43" s="20">
        <f t="shared" si="0"/>
        <v>34.111500000000007</v>
      </c>
      <c r="I43" s="20">
        <f t="shared" si="1"/>
        <v>93.238100000000003</v>
      </c>
    </row>
    <row r="44" spans="2:9" x14ac:dyDescent="0.2">
      <c r="B44" s="26" t="s">
        <v>40</v>
      </c>
      <c r="C44" s="27">
        <f>SUM(C23:C43)</f>
        <v>232</v>
      </c>
      <c r="D44" s="28">
        <f>AVERAGE(D23:D43)</f>
        <v>42.524883463696142</v>
      </c>
      <c r="E44" s="29">
        <f>SUMPRODUCT(C23:C43,E23:E43)/C44</f>
        <v>2.6077586206896545E-2</v>
      </c>
      <c r="F44" s="29">
        <f>SUMPRODUCT(C23:C43,F23:F43)/C44</f>
        <v>9.5689655172413776E-2</v>
      </c>
      <c r="G44" s="29">
        <f>SUMPRODUCT(C23:C43,G23:G43)/C44</f>
        <v>0.17637931034482757</v>
      </c>
      <c r="H44" s="30">
        <f>SUM(H23:H43)</f>
        <v>616.72949999999992</v>
      </c>
      <c r="I44" s="30">
        <f>SUM(I23:I43)</f>
        <v>1287.0496000000001</v>
      </c>
    </row>
    <row r="47" spans="2:9" ht="15" customHeight="1" x14ac:dyDescent="0.2">
      <c r="B47" s="10" t="s">
        <v>41</v>
      </c>
      <c r="C47" s="10"/>
      <c r="D47" s="10"/>
      <c r="E47" s="10"/>
      <c r="F47" s="10"/>
      <c r="G47" s="10"/>
      <c r="H47" s="10"/>
      <c r="I47" s="10"/>
    </row>
    <row r="48" spans="2:9" ht="15" customHeight="1" x14ac:dyDescent="0.2">
      <c r="B48" s="5" t="s">
        <v>42</v>
      </c>
      <c r="C48" s="5"/>
      <c r="D48" s="5"/>
      <c r="E48" s="5"/>
      <c r="F48" s="5"/>
      <c r="G48" s="5"/>
      <c r="H48" s="5"/>
      <c r="I48" s="5"/>
    </row>
    <row r="49" spans="2:9" ht="15" customHeight="1" x14ac:dyDescent="0.2">
      <c r="B49" s="5" t="s">
        <v>43</v>
      </c>
      <c r="C49" s="5"/>
      <c r="D49" s="5"/>
      <c r="E49" s="5"/>
      <c r="F49" s="5"/>
      <c r="G49" s="5"/>
      <c r="H49" s="5"/>
      <c r="I49" s="5"/>
    </row>
    <row r="50" spans="2:9" ht="15" customHeight="1" x14ac:dyDescent="0.2">
      <c r="B50" s="5" t="s">
        <v>44</v>
      </c>
      <c r="C50" s="5"/>
      <c r="D50" s="5"/>
      <c r="E50" s="5"/>
      <c r="F50" s="5"/>
      <c r="G50" s="5"/>
      <c r="H50" s="5"/>
      <c r="I50" s="5"/>
    </row>
    <row r="51" spans="2:9" ht="15" customHeight="1" x14ac:dyDescent="0.2">
      <c r="B51" s="5" t="s">
        <v>45</v>
      </c>
      <c r="C51" s="5"/>
      <c r="D51" s="5"/>
      <c r="E51" s="5"/>
      <c r="F51" s="5"/>
      <c r="G51" s="5"/>
      <c r="H51" s="5"/>
      <c r="I51" s="5"/>
    </row>
    <row r="52" spans="2:9" ht="15" customHeight="1" x14ac:dyDescent="0.2">
      <c r="B52" s="5" t="s">
        <v>46</v>
      </c>
      <c r="C52" s="5"/>
      <c r="D52" s="5"/>
      <c r="E52" s="5"/>
      <c r="F52" s="5"/>
      <c r="G52" s="5"/>
      <c r="H52" s="5"/>
      <c r="I52" s="5"/>
    </row>
    <row r="55" spans="2:9" x14ac:dyDescent="0.2">
      <c r="B55" s="31" t="s">
        <v>47</v>
      </c>
      <c r="C55" s="32" t="s">
        <v>48</v>
      </c>
      <c r="D55" s="33" t="s">
        <v>49</v>
      </c>
      <c r="E55" s="34" t="s">
        <v>50</v>
      </c>
      <c r="F55" s="35" t="s">
        <v>51</v>
      </c>
    </row>
  </sheetData>
  <mergeCells count="22">
    <mergeCell ref="B52:I52"/>
    <mergeCell ref="B47:I47"/>
    <mergeCell ref="B48:I48"/>
    <mergeCell ref="B49:I49"/>
    <mergeCell ref="B50:I50"/>
    <mergeCell ref="B51:I51"/>
    <mergeCell ref="B17:C18"/>
    <mergeCell ref="D17:E18"/>
    <mergeCell ref="F17:G18"/>
    <mergeCell ref="H17:I18"/>
    <mergeCell ref="B21:I21"/>
    <mergeCell ref="B8:I12"/>
    <mergeCell ref="B14:I14"/>
    <mergeCell ref="B16:C16"/>
    <mergeCell ref="D16:E16"/>
    <mergeCell ref="F16:G16"/>
    <mergeCell ref="H16:I16"/>
    <mergeCell ref="B2:I2"/>
    <mergeCell ref="B3:I3"/>
    <mergeCell ref="B4:I4"/>
    <mergeCell ref="B5:I5"/>
    <mergeCell ref="B7:I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AA8"/>
  </sheetPr>
  <dimension ref="B2:F27"/>
  <sheetViews>
    <sheetView showGridLines="0" tabSelected="1"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2" customWidth="1"/>
    <col min="2" max="2" width="22" customWidth="1"/>
    <col min="3" max="5" width="18" customWidth="1"/>
    <col min="6" max="6" width="28" customWidth="1"/>
    <col min="7" max="7" width="2" customWidth="1"/>
  </cols>
  <sheetData>
    <row r="2" spans="2:6" ht="25" x14ac:dyDescent="0.25">
      <c r="B2" s="4" t="s">
        <v>52</v>
      </c>
      <c r="C2" s="4"/>
      <c r="D2" s="4"/>
      <c r="E2" s="4"/>
      <c r="F2" s="4"/>
    </row>
    <row r="3" spans="2:6" x14ac:dyDescent="0.2">
      <c r="B3" s="3" t="s">
        <v>53</v>
      </c>
      <c r="C3" s="3"/>
      <c r="D3" s="3"/>
      <c r="E3" s="3"/>
      <c r="F3" s="3"/>
    </row>
    <row r="4" spans="2:6" x14ac:dyDescent="0.2">
      <c r="B4" s="15" t="s">
        <v>54</v>
      </c>
      <c r="C4" s="15" t="s">
        <v>55</v>
      </c>
      <c r="D4" s="15" t="s">
        <v>56</v>
      </c>
      <c r="E4" s="15" t="s">
        <v>57</v>
      </c>
      <c r="F4" s="15" t="s">
        <v>58</v>
      </c>
    </row>
    <row r="5" spans="2:6" x14ac:dyDescent="0.2">
      <c r="B5" s="16" t="s">
        <v>19</v>
      </c>
      <c r="C5" s="36">
        <v>0.05</v>
      </c>
      <c r="D5" s="36">
        <v>0.15</v>
      </c>
      <c r="E5" s="36">
        <v>0.2</v>
      </c>
      <c r="F5" s="37" t="s">
        <v>59</v>
      </c>
    </row>
    <row r="6" spans="2:6" x14ac:dyDescent="0.2">
      <c r="B6" s="21" t="s">
        <v>20</v>
      </c>
      <c r="C6" s="38">
        <v>0</v>
      </c>
      <c r="D6" s="38">
        <v>0.1</v>
      </c>
      <c r="E6" s="38">
        <v>0.25</v>
      </c>
      <c r="F6" s="39" t="s">
        <v>59</v>
      </c>
    </row>
    <row r="7" spans="2:6" x14ac:dyDescent="0.2">
      <c r="B7" s="16" t="s">
        <v>21</v>
      </c>
      <c r="C7" s="36">
        <v>0</v>
      </c>
      <c r="D7" s="36">
        <v>0.1</v>
      </c>
      <c r="E7" s="36">
        <v>0.15</v>
      </c>
      <c r="F7" s="37" t="s">
        <v>59</v>
      </c>
    </row>
    <row r="8" spans="2:6" x14ac:dyDescent="0.2">
      <c r="B8" s="21" t="s">
        <v>22</v>
      </c>
      <c r="C8" s="38">
        <v>0.15</v>
      </c>
      <c r="D8" s="38">
        <v>0.3</v>
      </c>
      <c r="E8" s="38">
        <v>0.5</v>
      </c>
      <c r="F8" s="39" t="s">
        <v>59</v>
      </c>
    </row>
    <row r="9" spans="2:6" x14ac:dyDescent="0.2">
      <c r="B9" s="16" t="s">
        <v>23</v>
      </c>
      <c r="C9" s="36">
        <v>0.05</v>
      </c>
      <c r="D9" s="36">
        <v>0.15</v>
      </c>
      <c r="E9" s="36">
        <v>0.2</v>
      </c>
      <c r="F9" s="37" t="s">
        <v>59</v>
      </c>
    </row>
    <row r="10" spans="2:6" x14ac:dyDescent="0.2">
      <c r="B10" s="21" t="s">
        <v>24</v>
      </c>
      <c r="C10" s="38">
        <v>0</v>
      </c>
      <c r="D10" s="38">
        <v>0.1</v>
      </c>
      <c r="E10" s="38">
        <v>0.15</v>
      </c>
      <c r="F10" s="39" t="s">
        <v>59</v>
      </c>
    </row>
    <row r="11" spans="2:6" x14ac:dyDescent="0.2">
      <c r="B11" s="16" t="s">
        <v>25</v>
      </c>
      <c r="C11" s="36">
        <v>0.05</v>
      </c>
      <c r="D11" s="36">
        <v>0.15</v>
      </c>
      <c r="E11" s="36">
        <v>0.2</v>
      </c>
      <c r="F11" s="37" t="s">
        <v>59</v>
      </c>
    </row>
    <row r="12" spans="2:6" x14ac:dyDescent="0.2">
      <c r="B12" s="21" t="s">
        <v>26</v>
      </c>
      <c r="C12" s="38">
        <v>0.05</v>
      </c>
      <c r="D12" s="38">
        <v>0.15</v>
      </c>
      <c r="E12" s="38">
        <v>0.2</v>
      </c>
      <c r="F12" s="39" t="s">
        <v>59</v>
      </c>
    </row>
    <row r="13" spans="2:6" x14ac:dyDescent="0.2">
      <c r="B13" s="16" t="s">
        <v>27</v>
      </c>
      <c r="C13" s="36">
        <v>0</v>
      </c>
      <c r="D13" s="36">
        <v>0.1</v>
      </c>
      <c r="E13" s="36">
        <v>0.15</v>
      </c>
      <c r="F13" s="37" t="s">
        <v>59</v>
      </c>
    </row>
    <row r="14" spans="2:6" x14ac:dyDescent="0.2">
      <c r="B14" s="21" t="s">
        <v>28</v>
      </c>
      <c r="C14" s="38">
        <v>0.05</v>
      </c>
      <c r="D14" s="38">
        <v>0.15</v>
      </c>
      <c r="E14" s="38">
        <v>0.2</v>
      </c>
      <c r="F14" s="39" t="s">
        <v>59</v>
      </c>
    </row>
    <row r="15" spans="2:6" x14ac:dyDescent="0.2">
      <c r="B15" s="16" t="s">
        <v>29</v>
      </c>
      <c r="C15" s="36">
        <v>0</v>
      </c>
      <c r="D15" s="36">
        <v>0.1</v>
      </c>
      <c r="E15" s="36">
        <v>0.15</v>
      </c>
      <c r="F15" s="37" t="s">
        <v>59</v>
      </c>
    </row>
    <row r="16" spans="2:6" x14ac:dyDescent="0.2">
      <c r="B16" s="21" t="s">
        <v>30</v>
      </c>
      <c r="C16" s="38">
        <v>0</v>
      </c>
      <c r="D16" s="38">
        <v>0.1</v>
      </c>
      <c r="E16" s="38">
        <v>0.25</v>
      </c>
      <c r="F16" s="39" t="s">
        <v>59</v>
      </c>
    </row>
    <row r="17" spans="2:6" x14ac:dyDescent="0.2">
      <c r="B17" s="16" t="s">
        <v>31</v>
      </c>
      <c r="C17" s="36">
        <v>0</v>
      </c>
      <c r="D17" s="36">
        <v>0.1</v>
      </c>
      <c r="E17" s="36">
        <v>0.15</v>
      </c>
      <c r="F17" s="37" t="s">
        <v>59</v>
      </c>
    </row>
    <row r="18" spans="2:6" x14ac:dyDescent="0.2">
      <c r="B18" s="21" t="s">
        <v>32</v>
      </c>
      <c r="C18" s="38">
        <v>0</v>
      </c>
      <c r="D18" s="38">
        <v>0.1</v>
      </c>
      <c r="E18" s="38">
        <v>0.15</v>
      </c>
      <c r="F18" s="39" t="s">
        <v>59</v>
      </c>
    </row>
    <row r="19" spans="2:6" x14ac:dyDescent="0.2">
      <c r="B19" s="16" t="s">
        <v>33</v>
      </c>
      <c r="C19" s="36">
        <v>0.05</v>
      </c>
      <c r="D19" s="36">
        <v>0.15</v>
      </c>
      <c r="E19" s="36">
        <v>0.2</v>
      </c>
      <c r="F19" s="37" t="s">
        <v>59</v>
      </c>
    </row>
    <row r="20" spans="2:6" x14ac:dyDescent="0.2">
      <c r="B20" s="21" t="s">
        <v>34</v>
      </c>
      <c r="C20" s="38">
        <v>0</v>
      </c>
      <c r="D20" s="38">
        <v>0.1</v>
      </c>
      <c r="E20" s="38">
        <v>0.15</v>
      </c>
      <c r="F20" s="39" t="s">
        <v>59</v>
      </c>
    </row>
    <row r="21" spans="2:6" x14ac:dyDescent="0.2">
      <c r="B21" s="16" t="s">
        <v>35</v>
      </c>
      <c r="C21" s="36">
        <v>0.05</v>
      </c>
      <c r="D21" s="36">
        <v>0.15</v>
      </c>
      <c r="E21" s="36">
        <v>0.2</v>
      </c>
      <c r="F21" s="37" t="s">
        <v>59</v>
      </c>
    </row>
    <row r="22" spans="2:6" x14ac:dyDescent="0.2">
      <c r="B22" s="21" t="s">
        <v>36</v>
      </c>
      <c r="C22" s="38">
        <v>0.05</v>
      </c>
      <c r="D22" s="38">
        <v>0.15</v>
      </c>
      <c r="E22" s="38">
        <v>0.25</v>
      </c>
      <c r="F22" s="39" t="s">
        <v>59</v>
      </c>
    </row>
    <row r="23" spans="2:6" x14ac:dyDescent="0.2">
      <c r="B23" s="16" t="s">
        <v>37</v>
      </c>
      <c r="C23" s="36">
        <v>0.05</v>
      </c>
      <c r="D23" s="36">
        <v>0.2</v>
      </c>
      <c r="E23" s="36">
        <v>0.3</v>
      </c>
      <c r="F23" s="37" t="s">
        <v>59</v>
      </c>
    </row>
    <row r="24" spans="2:6" x14ac:dyDescent="0.2">
      <c r="B24" s="21" t="s">
        <v>38</v>
      </c>
      <c r="C24" s="38">
        <v>0</v>
      </c>
      <c r="D24" s="38">
        <v>0</v>
      </c>
      <c r="E24" s="38">
        <v>0</v>
      </c>
      <c r="F24" s="39" t="s">
        <v>59</v>
      </c>
    </row>
    <row r="25" spans="2:6" x14ac:dyDescent="0.2">
      <c r="B25" s="16" t="s">
        <v>39</v>
      </c>
      <c r="C25" s="36">
        <v>0.05</v>
      </c>
      <c r="D25" s="36">
        <v>0.2</v>
      </c>
      <c r="E25" s="36">
        <v>0.46</v>
      </c>
      <c r="F25" s="37" t="s">
        <v>59</v>
      </c>
    </row>
    <row r="27" spans="2:6" ht="15" customHeight="1" x14ac:dyDescent="0.2">
      <c r="B27" s="2" t="s">
        <v>60</v>
      </c>
      <c r="C27" s="2"/>
      <c r="D27" s="2"/>
      <c r="E27" s="2"/>
      <c r="F27" s="2"/>
    </row>
  </sheetData>
  <mergeCells count="3">
    <mergeCell ref="B2:F2"/>
    <mergeCell ref="B3:F3"/>
    <mergeCell ref="B27:F2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B2:H235"/>
  <sheetViews>
    <sheetView showGridLines="0" zoomScaleNormal="100" workbookViewId="0">
      <pane xSplit="2" ySplit="3" topLeftCell="C66" activePane="bottomRight" state="frozen"/>
      <selection pane="topRight" activeCell="C1" sqref="C1"/>
      <selection pane="bottomLeft" activeCell="A4" sqref="A4"/>
      <selection pane="bottomRight" activeCell="J41" sqref="J41"/>
    </sheetView>
  </sheetViews>
  <sheetFormatPr baseColWidth="10" defaultColWidth="8.6640625" defaultRowHeight="15" x14ac:dyDescent="0.2"/>
  <cols>
    <col min="1" max="1" width="2" customWidth="1"/>
    <col min="2" max="2" width="11" customWidth="1"/>
    <col min="3" max="3" width="28" customWidth="1"/>
    <col min="4" max="5" width="22" customWidth="1"/>
    <col min="6" max="6" width="14" customWidth="1"/>
    <col min="7" max="7" width="10" customWidth="1"/>
    <col min="8" max="8" width="14" customWidth="1"/>
    <col min="9" max="9" width="2" customWidth="1"/>
  </cols>
  <sheetData>
    <row r="2" spans="2:8" ht="17.25" customHeight="1" x14ac:dyDescent="0.2">
      <c r="B2" s="1" t="s">
        <v>61</v>
      </c>
      <c r="C2" s="1"/>
      <c r="D2" s="1"/>
      <c r="E2" s="1"/>
      <c r="F2" s="1"/>
      <c r="G2" s="1"/>
      <c r="H2" s="1"/>
    </row>
    <row r="3" spans="2:8" ht="28" x14ac:dyDescent="0.2">
      <c r="B3" s="15" t="s">
        <v>62</v>
      </c>
      <c r="C3" s="15" t="s">
        <v>63</v>
      </c>
      <c r="D3" s="15" t="s">
        <v>64</v>
      </c>
      <c r="E3" s="15" t="s">
        <v>54</v>
      </c>
      <c r="F3" s="15" t="s">
        <v>65</v>
      </c>
      <c r="G3" s="15" t="s">
        <v>66</v>
      </c>
      <c r="H3" s="15" t="s">
        <v>67</v>
      </c>
    </row>
    <row r="4" spans="2:8" x14ac:dyDescent="0.2">
      <c r="B4" s="40" t="s">
        <v>68</v>
      </c>
      <c r="C4" s="40" t="s">
        <v>69</v>
      </c>
      <c r="D4" s="40" t="s">
        <v>70</v>
      </c>
      <c r="E4" s="41" t="s">
        <v>22</v>
      </c>
      <c r="F4" s="42">
        <v>15.84</v>
      </c>
      <c r="G4" s="43" t="s">
        <v>71</v>
      </c>
      <c r="H4" s="36">
        <v>0.3</v>
      </c>
    </row>
    <row r="5" spans="2:8" x14ac:dyDescent="0.2">
      <c r="B5" s="44" t="s">
        <v>72</v>
      </c>
      <c r="C5" s="44" t="s">
        <v>73</v>
      </c>
      <c r="D5" s="44" t="s">
        <v>70</v>
      </c>
      <c r="E5" s="45" t="s">
        <v>30</v>
      </c>
      <c r="F5" s="46">
        <v>14.15</v>
      </c>
      <c r="G5" s="47" t="s">
        <v>71</v>
      </c>
      <c r="H5" s="38">
        <v>0.3</v>
      </c>
    </row>
    <row r="6" spans="2:8" x14ac:dyDescent="0.2">
      <c r="B6" s="40" t="s">
        <v>74</v>
      </c>
      <c r="C6" s="40" t="s">
        <v>75</v>
      </c>
      <c r="D6" s="40" t="s">
        <v>70</v>
      </c>
      <c r="E6" s="41" t="s">
        <v>38</v>
      </c>
      <c r="F6" s="42">
        <v>10.38</v>
      </c>
      <c r="G6" s="43" t="s">
        <v>71</v>
      </c>
      <c r="H6" s="36">
        <v>0.3</v>
      </c>
    </row>
    <row r="7" spans="2:8" x14ac:dyDescent="0.2">
      <c r="B7" s="44" t="s">
        <v>76</v>
      </c>
      <c r="C7" s="44" t="s">
        <v>77</v>
      </c>
      <c r="D7" s="44" t="s">
        <v>70</v>
      </c>
      <c r="E7" s="45" t="s">
        <v>30</v>
      </c>
      <c r="F7" s="46">
        <v>17.79</v>
      </c>
      <c r="G7" s="47" t="s">
        <v>71</v>
      </c>
      <c r="H7" s="38">
        <v>0.3</v>
      </c>
    </row>
    <row r="8" spans="2:8" x14ac:dyDescent="0.2">
      <c r="B8" s="40" t="s">
        <v>78</v>
      </c>
      <c r="C8" s="40" t="s">
        <v>79</v>
      </c>
      <c r="D8" s="40" t="s">
        <v>70</v>
      </c>
      <c r="E8" s="41" t="s">
        <v>30</v>
      </c>
      <c r="F8" s="42">
        <v>20.16</v>
      </c>
      <c r="G8" s="43" t="s">
        <v>71</v>
      </c>
      <c r="H8" s="36">
        <v>0.3</v>
      </c>
    </row>
    <row r="9" spans="2:8" x14ac:dyDescent="0.2">
      <c r="B9" s="44" t="s">
        <v>80</v>
      </c>
      <c r="C9" s="44" t="s">
        <v>81</v>
      </c>
      <c r="D9" s="44" t="s">
        <v>70</v>
      </c>
      <c r="E9" s="45" t="s">
        <v>22</v>
      </c>
      <c r="F9" s="46">
        <v>22.41</v>
      </c>
      <c r="G9" s="47" t="s">
        <v>71</v>
      </c>
      <c r="H9" s="38">
        <v>0.3</v>
      </c>
    </row>
    <row r="10" spans="2:8" x14ac:dyDescent="0.2">
      <c r="B10" s="40" t="s">
        <v>82</v>
      </c>
      <c r="C10" s="40" t="s">
        <v>83</v>
      </c>
      <c r="D10" s="40" t="s">
        <v>70</v>
      </c>
      <c r="E10" s="41" t="s">
        <v>30</v>
      </c>
      <c r="F10" s="42">
        <v>25.14</v>
      </c>
      <c r="G10" s="43" t="s">
        <v>71</v>
      </c>
      <c r="H10" s="36">
        <v>0.3</v>
      </c>
    </row>
    <row r="11" spans="2:8" x14ac:dyDescent="0.2">
      <c r="B11" s="44" t="s">
        <v>84</v>
      </c>
      <c r="C11" s="44" t="s">
        <v>85</v>
      </c>
      <c r="D11" s="44" t="s">
        <v>70</v>
      </c>
      <c r="E11" s="45" t="s">
        <v>30</v>
      </c>
      <c r="F11" s="46">
        <v>19.7</v>
      </c>
      <c r="G11" s="47" t="s">
        <v>71</v>
      </c>
      <c r="H11" s="38">
        <v>0.3</v>
      </c>
    </row>
    <row r="12" spans="2:8" x14ac:dyDescent="0.2">
      <c r="B12" s="40" t="s">
        <v>86</v>
      </c>
      <c r="C12" s="40" t="s">
        <v>87</v>
      </c>
      <c r="D12" s="40" t="s">
        <v>70</v>
      </c>
      <c r="E12" s="41" t="s">
        <v>36</v>
      </c>
      <c r="F12" s="42">
        <v>25.38</v>
      </c>
      <c r="G12" s="43" t="s">
        <v>71</v>
      </c>
      <c r="H12" s="36">
        <v>0.3</v>
      </c>
    </row>
    <row r="13" spans="2:8" x14ac:dyDescent="0.2">
      <c r="B13" s="44" t="s">
        <v>88</v>
      </c>
      <c r="C13" s="44" t="s">
        <v>89</v>
      </c>
      <c r="D13" s="44" t="s">
        <v>70</v>
      </c>
      <c r="E13" s="45" t="s">
        <v>38</v>
      </c>
      <c r="F13" s="46">
        <v>10.18</v>
      </c>
      <c r="G13" s="47" t="s">
        <v>71</v>
      </c>
      <c r="H13" s="38">
        <v>0.3</v>
      </c>
    </row>
    <row r="14" spans="2:8" x14ac:dyDescent="0.2">
      <c r="B14" s="40" t="s">
        <v>90</v>
      </c>
      <c r="C14" s="40" t="s">
        <v>91</v>
      </c>
      <c r="D14" s="40" t="s">
        <v>70</v>
      </c>
      <c r="E14" s="41" t="s">
        <v>34</v>
      </c>
      <c r="F14" s="42">
        <v>15.75</v>
      </c>
      <c r="G14" s="43" t="s">
        <v>71</v>
      </c>
      <c r="H14" s="36">
        <v>0.3</v>
      </c>
    </row>
    <row r="15" spans="2:8" x14ac:dyDescent="0.2">
      <c r="B15" s="44" t="s">
        <v>92</v>
      </c>
      <c r="C15" s="44" t="s">
        <v>93</v>
      </c>
      <c r="D15" s="44" t="s">
        <v>70</v>
      </c>
      <c r="E15" s="45" t="s">
        <v>39</v>
      </c>
      <c r="F15" s="46">
        <v>24.04</v>
      </c>
      <c r="G15" s="47" t="s">
        <v>71</v>
      </c>
      <c r="H15" s="38">
        <v>0.3</v>
      </c>
    </row>
    <row r="16" spans="2:8" x14ac:dyDescent="0.2">
      <c r="B16" s="40" t="s">
        <v>94</v>
      </c>
      <c r="C16" s="40" t="s">
        <v>95</v>
      </c>
      <c r="D16" s="40" t="s">
        <v>70</v>
      </c>
      <c r="E16" s="41" t="s">
        <v>39</v>
      </c>
      <c r="F16" s="42">
        <v>22.21</v>
      </c>
      <c r="G16" s="43" t="s">
        <v>71</v>
      </c>
      <c r="H16" s="36">
        <v>0.3</v>
      </c>
    </row>
    <row r="17" spans="2:8" x14ac:dyDescent="0.2">
      <c r="B17" s="44" t="s">
        <v>96</v>
      </c>
      <c r="C17" s="44" t="s">
        <v>97</v>
      </c>
      <c r="D17" s="44" t="s">
        <v>70</v>
      </c>
      <c r="E17" s="45" t="s">
        <v>30</v>
      </c>
      <c r="F17" s="46">
        <v>15.19</v>
      </c>
      <c r="G17" s="47" t="s">
        <v>71</v>
      </c>
      <c r="H17" s="38">
        <v>0.3</v>
      </c>
    </row>
    <row r="18" spans="2:8" x14ac:dyDescent="0.2">
      <c r="B18" s="40" t="s">
        <v>98</v>
      </c>
      <c r="C18" s="40" t="s">
        <v>99</v>
      </c>
      <c r="D18" s="40" t="s">
        <v>70</v>
      </c>
      <c r="E18" s="41" t="s">
        <v>30</v>
      </c>
      <c r="F18" s="42">
        <v>16.899999999999999</v>
      </c>
      <c r="G18" s="43" t="s">
        <v>71</v>
      </c>
      <c r="H18" s="36">
        <v>0.3</v>
      </c>
    </row>
    <row r="19" spans="2:8" x14ac:dyDescent="0.2">
      <c r="B19" s="44" t="s">
        <v>100</v>
      </c>
      <c r="C19" s="44" t="s">
        <v>101</v>
      </c>
      <c r="D19" s="44" t="s">
        <v>70</v>
      </c>
      <c r="E19" s="45" t="s">
        <v>22</v>
      </c>
      <c r="F19" s="46">
        <v>29.45</v>
      </c>
      <c r="G19" s="47" t="s">
        <v>71</v>
      </c>
      <c r="H19" s="38">
        <v>0.3</v>
      </c>
    </row>
    <row r="20" spans="2:8" x14ac:dyDescent="0.2">
      <c r="B20" s="40" t="s">
        <v>102</v>
      </c>
      <c r="C20" s="40" t="s">
        <v>103</v>
      </c>
      <c r="D20" s="40" t="s">
        <v>70</v>
      </c>
      <c r="E20" s="41" t="s">
        <v>30</v>
      </c>
      <c r="F20" s="42">
        <v>19.760000000000002</v>
      </c>
      <c r="G20" s="43" t="s">
        <v>71</v>
      </c>
      <c r="H20" s="36">
        <v>0.3</v>
      </c>
    </row>
    <row r="21" spans="2:8" x14ac:dyDescent="0.2">
      <c r="B21" s="44" t="s">
        <v>104</v>
      </c>
      <c r="C21" s="44" t="s">
        <v>105</v>
      </c>
      <c r="D21" s="44" t="s">
        <v>70</v>
      </c>
      <c r="E21" s="45" t="s">
        <v>30</v>
      </c>
      <c r="F21" s="46">
        <v>18.12</v>
      </c>
      <c r="G21" s="47" t="s">
        <v>71</v>
      </c>
      <c r="H21" s="38">
        <v>0.3</v>
      </c>
    </row>
    <row r="22" spans="2:8" x14ac:dyDescent="0.2">
      <c r="B22" s="40" t="s">
        <v>106</v>
      </c>
      <c r="C22" s="40" t="s">
        <v>107</v>
      </c>
      <c r="D22" s="40" t="s">
        <v>70</v>
      </c>
      <c r="E22" s="41" t="s">
        <v>39</v>
      </c>
      <c r="F22" s="42">
        <v>25.48</v>
      </c>
      <c r="G22" s="43" t="s">
        <v>71</v>
      </c>
      <c r="H22" s="36">
        <v>0.3</v>
      </c>
    </row>
    <row r="23" spans="2:8" x14ac:dyDescent="0.2">
      <c r="B23" s="44" t="s">
        <v>108</v>
      </c>
      <c r="C23" s="44" t="s">
        <v>109</v>
      </c>
      <c r="D23" s="44" t="s">
        <v>70</v>
      </c>
      <c r="E23" s="45" t="s">
        <v>39</v>
      </c>
      <c r="F23" s="46">
        <v>18.05</v>
      </c>
      <c r="G23" s="47" t="s">
        <v>71</v>
      </c>
      <c r="H23" s="38">
        <v>0.3</v>
      </c>
    </row>
    <row r="24" spans="2:8" x14ac:dyDescent="0.2">
      <c r="B24" s="40" t="s">
        <v>110</v>
      </c>
      <c r="C24" s="40" t="s">
        <v>111</v>
      </c>
      <c r="D24" s="40" t="s">
        <v>70</v>
      </c>
      <c r="E24" s="41" t="s">
        <v>22</v>
      </c>
      <c r="F24" s="42">
        <v>18.64</v>
      </c>
      <c r="G24" s="43" t="s">
        <v>71</v>
      </c>
      <c r="H24" s="36">
        <v>0.3</v>
      </c>
    </row>
    <row r="25" spans="2:8" x14ac:dyDescent="0.2">
      <c r="B25" s="44" t="s">
        <v>112</v>
      </c>
      <c r="C25" s="44" t="s">
        <v>113</v>
      </c>
      <c r="D25" s="44" t="s">
        <v>70</v>
      </c>
      <c r="E25" s="45" t="s">
        <v>22</v>
      </c>
      <c r="F25" s="46">
        <v>21.89</v>
      </c>
      <c r="G25" s="47" t="s">
        <v>71</v>
      </c>
      <c r="H25" s="38">
        <v>0.3</v>
      </c>
    </row>
    <row r="26" spans="2:8" x14ac:dyDescent="0.2">
      <c r="B26" s="40" t="s">
        <v>114</v>
      </c>
      <c r="C26" s="40" t="s">
        <v>115</v>
      </c>
      <c r="D26" s="40" t="s">
        <v>70</v>
      </c>
      <c r="E26" s="41" t="s">
        <v>30</v>
      </c>
      <c r="F26" s="42">
        <v>13.04</v>
      </c>
      <c r="G26" s="43" t="s">
        <v>71</v>
      </c>
      <c r="H26" s="36">
        <v>0.3</v>
      </c>
    </row>
    <row r="27" spans="2:8" x14ac:dyDescent="0.2">
      <c r="B27" s="44" t="s">
        <v>116</v>
      </c>
      <c r="C27" s="44" t="s">
        <v>117</v>
      </c>
      <c r="D27" s="44" t="s">
        <v>70</v>
      </c>
      <c r="E27" s="45" t="s">
        <v>27</v>
      </c>
      <c r="F27" s="46">
        <v>29.55</v>
      </c>
      <c r="G27" s="47" t="s">
        <v>71</v>
      </c>
      <c r="H27" s="38">
        <v>0.3</v>
      </c>
    </row>
    <row r="28" spans="2:8" x14ac:dyDescent="0.2">
      <c r="B28" s="40" t="s">
        <v>118</v>
      </c>
      <c r="C28" s="40" t="s">
        <v>119</v>
      </c>
      <c r="D28" s="40" t="s">
        <v>70</v>
      </c>
      <c r="E28" s="41" t="s">
        <v>27</v>
      </c>
      <c r="F28" s="42">
        <v>35.57</v>
      </c>
      <c r="G28" s="43" t="s">
        <v>71</v>
      </c>
      <c r="H28" s="36">
        <v>0.3</v>
      </c>
    </row>
    <row r="29" spans="2:8" x14ac:dyDescent="0.2">
      <c r="B29" s="44" t="s">
        <v>120</v>
      </c>
      <c r="C29" s="44" t="s">
        <v>121</v>
      </c>
      <c r="D29" s="44" t="s">
        <v>70</v>
      </c>
      <c r="E29" s="45" t="s">
        <v>30</v>
      </c>
      <c r="F29" s="46">
        <v>22.69</v>
      </c>
      <c r="G29" s="47" t="s">
        <v>71</v>
      </c>
      <c r="H29" s="38">
        <v>0.3</v>
      </c>
    </row>
    <row r="30" spans="2:8" x14ac:dyDescent="0.2">
      <c r="B30" s="40" t="s">
        <v>122</v>
      </c>
      <c r="C30" s="40" t="s">
        <v>123</v>
      </c>
      <c r="D30" s="40" t="s">
        <v>70</v>
      </c>
      <c r="E30" s="41" t="s">
        <v>22</v>
      </c>
      <c r="F30" s="42">
        <v>22.74</v>
      </c>
      <c r="G30" s="43" t="s">
        <v>71</v>
      </c>
      <c r="H30" s="36">
        <v>0.3</v>
      </c>
    </row>
    <row r="31" spans="2:8" x14ac:dyDescent="0.2">
      <c r="B31" s="44" t="s">
        <v>124</v>
      </c>
      <c r="C31" s="44" t="s">
        <v>125</v>
      </c>
      <c r="D31" s="44" t="s">
        <v>70</v>
      </c>
      <c r="E31" s="45" t="s">
        <v>22</v>
      </c>
      <c r="F31" s="46">
        <v>18.77</v>
      </c>
      <c r="G31" s="47" t="s">
        <v>71</v>
      </c>
      <c r="H31" s="38">
        <v>0.3</v>
      </c>
    </row>
    <row r="32" spans="2:8" x14ac:dyDescent="0.2">
      <c r="B32" s="40" t="s">
        <v>126</v>
      </c>
      <c r="C32" s="40" t="s">
        <v>127</v>
      </c>
      <c r="D32" s="40" t="s">
        <v>70</v>
      </c>
      <c r="E32" s="41" t="s">
        <v>22</v>
      </c>
      <c r="F32" s="42">
        <v>21.08</v>
      </c>
      <c r="G32" s="43" t="s">
        <v>71</v>
      </c>
      <c r="H32" s="36">
        <v>0.3</v>
      </c>
    </row>
    <row r="33" spans="2:8" x14ac:dyDescent="0.2">
      <c r="B33" s="44" t="s">
        <v>128</v>
      </c>
      <c r="C33" s="44" t="s">
        <v>129</v>
      </c>
      <c r="D33" s="44" t="s">
        <v>70</v>
      </c>
      <c r="E33" s="45" t="s">
        <v>38</v>
      </c>
      <c r="F33" s="46">
        <v>24.83</v>
      </c>
      <c r="G33" s="47" t="s">
        <v>71</v>
      </c>
      <c r="H33" s="38">
        <v>0.3</v>
      </c>
    </row>
    <row r="34" spans="2:8" x14ac:dyDescent="0.2">
      <c r="B34" s="40" t="s">
        <v>130</v>
      </c>
      <c r="C34" s="40" t="s">
        <v>131</v>
      </c>
      <c r="D34" s="40" t="s">
        <v>132</v>
      </c>
      <c r="E34" s="41" t="s">
        <v>25</v>
      </c>
      <c r="F34" s="42">
        <v>36.07</v>
      </c>
      <c r="G34" s="43" t="s">
        <v>71</v>
      </c>
      <c r="H34" s="36">
        <v>0.32</v>
      </c>
    </row>
    <row r="35" spans="2:8" x14ac:dyDescent="0.2">
      <c r="B35" s="44" t="s">
        <v>133</v>
      </c>
      <c r="C35" s="44" t="s">
        <v>134</v>
      </c>
      <c r="D35" s="44" t="s">
        <v>132</v>
      </c>
      <c r="E35" s="45" t="s">
        <v>25</v>
      </c>
      <c r="F35" s="46">
        <v>31.3</v>
      </c>
      <c r="G35" s="47" t="s">
        <v>71</v>
      </c>
      <c r="H35" s="38">
        <v>0.32</v>
      </c>
    </row>
    <row r="36" spans="2:8" x14ac:dyDescent="0.2">
      <c r="B36" s="40" t="s">
        <v>135</v>
      </c>
      <c r="C36" s="40" t="s">
        <v>136</v>
      </c>
      <c r="D36" s="40" t="s">
        <v>132</v>
      </c>
      <c r="E36" s="41" t="s">
        <v>22</v>
      </c>
      <c r="F36" s="42">
        <v>42.43</v>
      </c>
      <c r="G36" s="43" t="s">
        <v>71</v>
      </c>
      <c r="H36" s="36">
        <v>0.32</v>
      </c>
    </row>
    <row r="37" spans="2:8" x14ac:dyDescent="0.2">
      <c r="B37" s="44" t="s">
        <v>137</v>
      </c>
      <c r="C37" s="44" t="s">
        <v>138</v>
      </c>
      <c r="D37" s="44" t="s">
        <v>132</v>
      </c>
      <c r="E37" s="45" t="s">
        <v>22</v>
      </c>
      <c r="F37" s="46">
        <v>54.65</v>
      </c>
      <c r="G37" s="47" t="s">
        <v>71</v>
      </c>
      <c r="H37" s="38">
        <v>0.32</v>
      </c>
    </row>
    <row r="38" spans="2:8" x14ac:dyDescent="0.2">
      <c r="B38" s="40" t="s">
        <v>139</v>
      </c>
      <c r="C38" s="40" t="s">
        <v>140</v>
      </c>
      <c r="D38" s="40" t="s">
        <v>132</v>
      </c>
      <c r="E38" s="41" t="s">
        <v>38</v>
      </c>
      <c r="F38" s="42">
        <v>25.79</v>
      </c>
      <c r="G38" s="43" t="s">
        <v>71</v>
      </c>
      <c r="H38" s="36">
        <v>0.32</v>
      </c>
    </row>
    <row r="39" spans="2:8" x14ac:dyDescent="0.2">
      <c r="B39" s="44" t="s">
        <v>141</v>
      </c>
      <c r="C39" s="44" t="s">
        <v>142</v>
      </c>
      <c r="D39" s="44" t="s">
        <v>132</v>
      </c>
      <c r="E39" s="45" t="s">
        <v>33</v>
      </c>
      <c r="F39" s="46">
        <v>36.619999999999997</v>
      </c>
      <c r="G39" s="47" t="s">
        <v>71</v>
      </c>
      <c r="H39" s="38">
        <v>0.32</v>
      </c>
    </row>
    <row r="40" spans="2:8" x14ac:dyDescent="0.2">
      <c r="B40" s="40" t="s">
        <v>143</v>
      </c>
      <c r="C40" s="40" t="s">
        <v>144</v>
      </c>
      <c r="D40" s="40" t="s">
        <v>132</v>
      </c>
      <c r="E40" s="41" t="s">
        <v>34</v>
      </c>
      <c r="F40" s="42">
        <v>37.950000000000003</v>
      </c>
      <c r="G40" s="43" t="s">
        <v>71</v>
      </c>
      <c r="H40" s="36">
        <v>0.32</v>
      </c>
    </row>
    <row r="41" spans="2:8" x14ac:dyDescent="0.2">
      <c r="B41" s="44" t="s">
        <v>145</v>
      </c>
      <c r="C41" s="44" t="s">
        <v>146</v>
      </c>
      <c r="D41" s="44" t="s">
        <v>132</v>
      </c>
      <c r="E41" s="45" t="s">
        <v>30</v>
      </c>
      <c r="F41" s="46">
        <v>23.95</v>
      </c>
      <c r="G41" s="47" t="s">
        <v>71</v>
      </c>
      <c r="H41" s="38">
        <v>0.32</v>
      </c>
    </row>
    <row r="42" spans="2:8" x14ac:dyDescent="0.2">
      <c r="B42" s="40" t="s">
        <v>147</v>
      </c>
      <c r="C42" s="40" t="s">
        <v>148</v>
      </c>
      <c r="D42" s="40" t="s">
        <v>132</v>
      </c>
      <c r="E42" s="41" t="s">
        <v>38</v>
      </c>
      <c r="F42" s="42">
        <v>20.03</v>
      </c>
      <c r="G42" s="43" t="s">
        <v>71</v>
      </c>
      <c r="H42" s="36">
        <v>0.32</v>
      </c>
    </row>
    <row r="43" spans="2:8" x14ac:dyDescent="0.2">
      <c r="B43" s="44" t="s">
        <v>149</v>
      </c>
      <c r="C43" s="44" t="s">
        <v>150</v>
      </c>
      <c r="D43" s="44" t="s">
        <v>132</v>
      </c>
      <c r="E43" s="45" t="s">
        <v>38</v>
      </c>
      <c r="F43" s="46">
        <v>16.46</v>
      </c>
      <c r="G43" s="47" t="s">
        <v>71</v>
      </c>
      <c r="H43" s="38">
        <v>0.32</v>
      </c>
    </row>
    <row r="44" spans="2:8" x14ac:dyDescent="0.2">
      <c r="B44" s="40" t="s">
        <v>151</v>
      </c>
      <c r="C44" s="40" t="s">
        <v>152</v>
      </c>
      <c r="D44" s="40" t="s">
        <v>132</v>
      </c>
      <c r="E44" s="41" t="s">
        <v>38</v>
      </c>
      <c r="F44" s="42">
        <v>16.23</v>
      </c>
      <c r="G44" s="43" t="s">
        <v>71</v>
      </c>
      <c r="H44" s="36">
        <v>0.32</v>
      </c>
    </row>
    <row r="45" spans="2:8" x14ac:dyDescent="0.2">
      <c r="B45" s="44" t="s">
        <v>153</v>
      </c>
      <c r="C45" s="44" t="s">
        <v>154</v>
      </c>
      <c r="D45" s="44" t="s">
        <v>132</v>
      </c>
      <c r="E45" s="45" t="s">
        <v>38</v>
      </c>
      <c r="F45" s="46">
        <v>16.27</v>
      </c>
      <c r="G45" s="47" t="s">
        <v>71</v>
      </c>
      <c r="H45" s="38">
        <v>0.32</v>
      </c>
    </row>
    <row r="46" spans="2:8" x14ac:dyDescent="0.2">
      <c r="B46" s="40" t="s">
        <v>155</v>
      </c>
      <c r="C46" s="40" t="s">
        <v>156</v>
      </c>
      <c r="D46" s="40" t="s">
        <v>132</v>
      </c>
      <c r="E46" s="41" t="s">
        <v>38</v>
      </c>
      <c r="F46" s="42">
        <v>19.82</v>
      </c>
      <c r="G46" s="43" t="s">
        <v>71</v>
      </c>
      <c r="H46" s="36">
        <v>0.32</v>
      </c>
    </row>
    <row r="47" spans="2:8" x14ac:dyDescent="0.2">
      <c r="B47" s="44" t="s">
        <v>157</v>
      </c>
      <c r="C47" s="44" t="s">
        <v>158</v>
      </c>
      <c r="D47" s="44" t="s">
        <v>132</v>
      </c>
      <c r="E47" s="45" t="s">
        <v>38</v>
      </c>
      <c r="F47" s="46">
        <v>19.03</v>
      </c>
      <c r="G47" s="47" t="s">
        <v>71</v>
      </c>
      <c r="H47" s="38">
        <v>0.32</v>
      </c>
    </row>
    <row r="48" spans="2:8" x14ac:dyDescent="0.2">
      <c r="B48" s="40" t="s">
        <v>159</v>
      </c>
      <c r="C48" s="40" t="s">
        <v>160</v>
      </c>
      <c r="D48" s="40" t="s">
        <v>132</v>
      </c>
      <c r="E48" s="41" t="s">
        <v>30</v>
      </c>
      <c r="F48" s="42">
        <v>13.56</v>
      </c>
      <c r="G48" s="43" t="s">
        <v>71</v>
      </c>
      <c r="H48" s="36">
        <v>0.32</v>
      </c>
    </row>
    <row r="49" spans="2:8" x14ac:dyDescent="0.2">
      <c r="B49" s="44" t="s">
        <v>161</v>
      </c>
      <c r="C49" s="44" t="s">
        <v>162</v>
      </c>
      <c r="D49" s="44" t="s">
        <v>132</v>
      </c>
      <c r="E49" s="45" t="s">
        <v>24</v>
      </c>
      <c r="F49" s="46">
        <v>17.86</v>
      </c>
      <c r="G49" s="47" t="s">
        <v>71</v>
      </c>
      <c r="H49" s="38">
        <v>0.32</v>
      </c>
    </row>
    <row r="50" spans="2:8" x14ac:dyDescent="0.2">
      <c r="B50" s="40" t="s">
        <v>163</v>
      </c>
      <c r="C50" s="40" t="s">
        <v>164</v>
      </c>
      <c r="D50" s="40" t="s">
        <v>132</v>
      </c>
      <c r="E50" s="41" t="s">
        <v>25</v>
      </c>
      <c r="F50" s="42">
        <v>23.01</v>
      </c>
      <c r="G50" s="43" t="s">
        <v>71</v>
      </c>
      <c r="H50" s="36">
        <v>0.32</v>
      </c>
    </row>
    <row r="51" spans="2:8" x14ac:dyDescent="0.2">
      <c r="B51" s="44" t="s">
        <v>165</v>
      </c>
      <c r="C51" s="44" t="s">
        <v>166</v>
      </c>
      <c r="D51" s="44" t="s">
        <v>167</v>
      </c>
      <c r="E51" s="45" t="s">
        <v>22</v>
      </c>
      <c r="F51" s="46">
        <v>35.340000000000003</v>
      </c>
      <c r="G51" s="47" t="s">
        <v>71</v>
      </c>
      <c r="H51" s="38">
        <v>0.38</v>
      </c>
    </row>
    <row r="52" spans="2:8" x14ac:dyDescent="0.2">
      <c r="B52" s="40" t="s">
        <v>168</v>
      </c>
      <c r="C52" s="40" t="s">
        <v>169</v>
      </c>
      <c r="D52" s="40" t="s">
        <v>167</v>
      </c>
      <c r="E52" s="41" t="s">
        <v>36</v>
      </c>
      <c r="F52" s="42">
        <v>48.9</v>
      </c>
      <c r="G52" s="43" t="s">
        <v>71</v>
      </c>
      <c r="H52" s="36">
        <v>0.38</v>
      </c>
    </row>
    <row r="53" spans="2:8" x14ac:dyDescent="0.2">
      <c r="B53" s="44" t="s">
        <v>170</v>
      </c>
      <c r="C53" s="44" t="s">
        <v>171</v>
      </c>
      <c r="D53" s="44" t="s">
        <v>167</v>
      </c>
      <c r="E53" s="45" t="s">
        <v>32</v>
      </c>
      <c r="F53" s="46">
        <v>53.11</v>
      </c>
      <c r="G53" s="47" t="s">
        <v>71</v>
      </c>
      <c r="H53" s="38">
        <v>0.38</v>
      </c>
    </row>
    <row r="54" spans="2:8" x14ac:dyDescent="0.2">
      <c r="B54" s="40" t="s">
        <v>172</v>
      </c>
      <c r="C54" s="40" t="s">
        <v>173</v>
      </c>
      <c r="D54" s="40" t="s">
        <v>167</v>
      </c>
      <c r="E54" s="41" t="s">
        <v>36</v>
      </c>
      <c r="F54" s="42">
        <v>42.44</v>
      </c>
      <c r="G54" s="43" t="s">
        <v>71</v>
      </c>
      <c r="H54" s="36">
        <v>0.38</v>
      </c>
    </row>
    <row r="55" spans="2:8" x14ac:dyDescent="0.2">
      <c r="B55" s="44" t="s">
        <v>174</v>
      </c>
      <c r="C55" s="44" t="s">
        <v>175</v>
      </c>
      <c r="D55" s="44" t="s">
        <v>167</v>
      </c>
      <c r="E55" s="45" t="s">
        <v>36</v>
      </c>
      <c r="F55" s="46">
        <v>30.51</v>
      </c>
      <c r="G55" s="47" t="s">
        <v>71</v>
      </c>
      <c r="H55" s="38">
        <v>0.38</v>
      </c>
    </row>
    <row r="56" spans="2:8" x14ac:dyDescent="0.2">
      <c r="B56" s="40" t="s">
        <v>176</v>
      </c>
      <c r="C56" s="40" t="s">
        <v>177</v>
      </c>
      <c r="D56" s="40" t="s">
        <v>167</v>
      </c>
      <c r="E56" s="41" t="s">
        <v>36</v>
      </c>
      <c r="F56" s="42">
        <v>66.67</v>
      </c>
      <c r="G56" s="43" t="s">
        <v>71</v>
      </c>
      <c r="H56" s="36">
        <v>0.38</v>
      </c>
    </row>
    <row r="57" spans="2:8" x14ac:dyDescent="0.2">
      <c r="B57" s="44" t="s">
        <v>178</v>
      </c>
      <c r="C57" s="44" t="s">
        <v>179</v>
      </c>
      <c r="D57" s="44" t="s">
        <v>167</v>
      </c>
      <c r="E57" s="45" t="s">
        <v>36</v>
      </c>
      <c r="F57" s="46">
        <v>56.99</v>
      </c>
      <c r="G57" s="47" t="s">
        <v>71</v>
      </c>
      <c r="H57" s="38">
        <v>0.38</v>
      </c>
    </row>
    <row r="58" spans="2:8" x14ac:dyDescent="0.2">
      <c r="B58" s="40" t="s">
        <v>180</v>
      </c>
      <c r="C58" s="40" t="s">
        <v>181</v>
      </c>
      <c r="D58" s="40" t="s">
        <v>167</v>
      </c>
      <c r="E58" s="41" t="s">
        <v>30</v>
      </c>
      <c r="F58" s="42">
        <v>21.18</v>
      </c>
      <c r="G58" s="43" t="s">
        <v>71</v>
      </c>
      <c r="H58" s="36">
        <v>0.38</v>
      </c>
    </row>
    <row r="59" spans="2:8" x14ac:dyDescent="0.2">
      <c r="B59" s="44" t="s">
        <v>182</v>
      </c>
      <c r="C59" s="44" t="s">
        <v>183</v>
      </c>
      <c r="D59" s="44" t="s">
        <v>167</v>
      </c>
      <c r="E59" s="45" t="s">
        <v>30</v>
      </c>
      <c r="F59" s="46">
        <v>15.65</v>
      </c>
      <c r="G59" s="47" t="s">
        <v>71</v>
      </c>
      <c r="H59" s="38">
        <v>0.38</v>
      </c>
    </row>
    <row r="60" spans="2:8" x14ac:dyDescent="0.2">
      <c r="B60" s="40" t="s">
        <v>184</v>
      </c>
      <c r="C60" s="40" t="s">
        <v>185</v>
      </c>
      <c r="D60" s="40" t="s">
        <v>167</v>
      </c>
      <c r="E60" s="41" t="s">
        <v>30</v>
      </c>
      <c r="F60" s="42">
        <v>23.71</v>
      </c>
      <c r="G60" s="43" t="s">
        <v>71</v>
      </c>
      <c r="H60" s="36">
        <v>0.38</v>
      </c>
    </row>
    <row r="61" spans="2:8" x14ac:dyDescent="0.2">
      <c r="B61" s="44" t="s">
        <v>186</v>
      </c>
      <c r="C61" s="44" t="s">
        <v>187</v>
      </c>
      <c r="D61" s="44" t="s">
        <v>167</v>
      </c>
      <c r="E61" s="45" t="s">
        <v>30</v>
      </c>
      <c r="F61" s="46">
        <v>18.37</v>
      </c>
      <c r="G61" s="47" t="s">
        <v>71</v>
      </c>
      <c r="H61" s="38">
        <v>0.38</v>
      </c>
    </row>
    <row r="62" spans="2:8" x14ac:dyDescent="0.2">
      <c r="B62" s="40" t="s">
        <v>188</v>
      </c>
      <c r="C62" s="40" t="s">
        <v>189</v>
      </c>
      <c r="D62" s="40" t="s">
        <v>167</v>
      </c>
      <c r="E62" s="41" t="s">
        <v>30</v>
      </c>
      <c r="F62" s="42">
        <v>13.98</v>
      </c>
      <c r="G62" s="43" t="s">
        <v>71</v>
      </c>
      <c r="H62" s="36">
        <v>0.38</v>
      </c>
    </row>
    <row r="63" spans="2:8" x14ac:dyDescent="0.2">
      <c r="B63" s="44" t="s">
        <v>190</v>
      </c>
      <c r="C63" s="44" t="s">
        <v>191</v>
      </c>
      <c r="D63" s="44" t="s">
        <v>167</v>
      </c>
      <c r="E63" s="45" t="s">
        <v>30</v>
      </c>
      <c r="F63" s="46">
        <v>34.549999999999997</v>
      </c>
      <c r="G63" s="47" t="s">
        <v>71</v>
      </c>
      <c r="H63" s="38">
        <v>0.38</v>
      </c>
    </row>
    <row r="64" spans="2:8" x14ac:dyDescent="0.2">
      <c r="B64" s="40" t="s">
        <v>192</v>
      </c>
      <c r="C64" s="40" t="s">
        <v>193</v>
      </c>
      <c r="D64" s="40" t="s">
        <v>167</v>
      </c>
      <c r="E64" s="41" t="s">
        <v>22</v>
      </c>
      <c r="F64" s="42">
        <v>47.86</v>
      </c>
      <c r="G64" s="43" t="s">
        <v>71</v>
      </c>
      <c r="H64" s="36">
        <v>0.38</v>
      </c>
    </row>
    <row r="65" spans="2:8" x14ac:dyDescent="0.2">
      <c r="B65" s="44" t="s">
        <v>194</v>
      </c>
      <c r="C65" s="44" t="s">
        <v>195</v>
      </c>
      <c r="D65" s="44" t="s">
        <v>167</v>
      </c>
      <c r="E65" s="45" t="s">
        <v>22</v>
      </c>
      <c r="F65" s="46">
        <v>54.6</v>
      </c>
      <c r="G65" s="47" t="s">
        <v>71</v>
      </c>
      <c r="H65" s="38">
        <v>0.38</v>
      </c>
    </row>
    <row r="66" spans="2:8" x14ac:dyDescent="0.2">
      <c r="B66" s="40" t="s">
        <v>196</v>
      </c>
      <c r="C66" s="40" t="s">
        <v>197</v>
      </c>
      <c r="D66" s="40" t="s">
        <v>167</v>
      </c>
      <c r="E66" s="41" t="s">
        <v>38</v>
      </c>
      <c r="F66" s="42">
        <v>49.24</v>
      </c>
      <c r="G66" s="43" t="s">
        <v>71</v>
      </c>
      <c r="H66" s="36">
        <v>0.38</v>
      </c>
    </row>
    <row r="67" spans="2:8" x14ac:dyDescent="0.2">
      <c r="B67" s="44" t="s">
        <v>198</v>
      </c>
      <c r="C67" s="44" t="s">
        <v>199</v>
      </c>
      <c r="D67" s="44" t="s">
        <v>167</v>
      </c>
      <c r="E67" s="45" t="s">
        <v>38</v>
      </c>
      <c r="F67" s="46">
        <v>34.85</v>
      </c>
      <c r="G67" s="47" t="s">
        <v>71</v>
      </c>
      <c r="H67" s="38">
        <v>0.38</v>
      </c>
    </row>
    <row r="68" spans="2:8" x14ac:dyDescent="0.2">
      <c r="B68" s="40" t="s">
        <v>200</v>
      </c>
      <c r="C68" s="40" t="s">
        <v>201</v>
      </c>
      <c r="D68" s="40" t="s">
        <v>167</v>
      </c>
      <c r="E68" s="41" t="s">
        <v>26</v>
      </c>
      <c r="F68" s="42">
        <v>62.33</v>
      </c>
      <c r="G68" s="43" t="s">
        <v>71</v>
      </c>
      <c r="H68" s="36">
        <v>0.38</v>
      </c>
    </row>
    <row r="69" spans="2:8" x14ac:dyDescent="0.2">
      <c r="B69" s="44" t="s">
        <v>202</v>
      </c>
      <c r="C69" s="44" t="s">
        <v>203</v>
      </c>
      <c r="D69" s="44" t="s">
        <v>204</v>
      </c>
      <c r="E69" s="45" t="s">
        <v>38</v>
      </c>
      <c r="F69" s="46">
        <v>14.66</v>
      </c>
      <c r="G69" s="47" t="s">
        <v>71</v>
      </c>
      <c r="H69" s="38">
        <v>0.28000000000000003</v>
      </c>
    </row>
    <row r="70" spans="2:8" x14ac:dyDescent="0.2">
      <c r="B70" s="40" t="s">
        <v>205</v>
      </c>
      <c r="C70" s="40" t="s">
        <v>206</v>
      </c>
      <c r="D70" s="40" t="s">
        <v>204</v>
      </c>
      <c r="E70" s="41" t="s">
        <v>38</v>
      </c>
      <c r="F70" s="42">
        <v>15.83</v>
      </c>
      <c r="G70" s="43" t="s">
        <v>71</v>
      </c>
      <c r="H70" s="36">
        <v>0.28000000000000003</v>
      </c>
    </row>
    <row r="71" spans="2:8" x14ac:dyDescent="0.2">
      <c r="B71" s="44" t="s">
        <v>207</v>
      </c>
      <c r="C71" s="44" t="s">
        <v>208</v>
      </c>
      <c r="D71" s="44" t="s">
        <v>204</v>
      </c>
      <c r="E71" s="45" t="s">
        <v>38</v>
      </c>
      <c r="F71" s="46">
        <v>12.19</v>
      </c>
      <c r="G71" s="47" t="s">
        <v>71</v>
      </c>
      <c r="H71" s="38">
        <v>0.28000000000000003</v>
      </c>
    </row>
    <row r="72" spans="2:8" x14ac:dyDescent="0.2">
      <c r="B72" s="40" t="s">
        <v>209</v>
      </c>
      <c r="C72" s="40" t="s">
        <v>210</v>
      </c>
      <c r="D72" s="40" t="s">
        <v>204</v>
      </c>
      <c r="E72" s="41" t="s">
        <v>38</v>
      </c>
      <c r="F72" s="42">
        <v>13.89</v>
      </c>
      <c r="G72" s="43" t="s">
        <v>71</v>
      </c>
      <c r="H72" s="36">
        <v>0.28000000000000003</v>
      </c>
    </row>
    <row r="73" spans="2:8" x14ac:dyDescent="0.2">
      <c r="B73" s="44" t="s">
        <v>211</v>
      </c>
      <c r="C73" s="44" t="s">
        <v>212</v>
      </c>
      <c r="D73" s="44" t="s">
        <v>204</v>
      </c>
      <c r="E73" s="45" t="s">
        <v>38</v>
      </c>
      <c r="F73" s="46">
        <v>18.14</v>
      </c>
      <c r="G73" s="47" t="s">
        <v>71</v>
      </c>
      <c r="H73" s="38">
        <v>0.28000000000000003</v>
      </c>
    </row>
    <row r="74" spans="2:8" x14ac:dyDescent="0.2">
      <c r="B74" s="40" t="s">
        <v>213</v>
      </c>
      <c r="C74" s="40" t="s">
        <v>214</v>
      </c>
      <c r="D74" s="40" t="s">
        <v>204</v>
      </c>
      <c r="E74" s="41" t="s">
        <v>38</v>
      </c>
      <c r="F74" s="42">
        <v>19.690000000000001</v>
      </c>
      <c r="G74" s="43" t="s">
        <v>71</v>
      </c>
      <c r="H74" s="36">
        <v>0.28000000000000003</v>
      </c>
    </row>
    <row r="75" spans="2:8" x14ac:dyDescent="0.2">
      <c r="B75" s="44" t="s">
        <v>215</v>
      </c>
      <c r="C75" s="44" t="s">
        <v>216</v>
      </c>
      <c r="D75" s="44" t="s">
        <v>204</v>
      </c>
      <c r="E75" s="45" t="s">
        <v>38</v>
      </c>
      <c r="F75" s="46">
        <v>19.66</v>
      </c>
      <c r="G75" s="47" t="s">
        <v>71</v>
      </c>
      <c r="H75" s="38">
        <v>0.28000000000000003</v>
      </c>
    </row>
    <row r="76" spans="2:8" x14ac:dyDescent="0.2">
      <c r="B76" s="40" t="s">
        <v>217</v>
      </c>
      <c r="C76" s="40" t="s">
        <v>218</v>
      </c>
      <c r="D76" s="40" t="s">
        <v>204</v>
      </c>
      <c r="E76" s="41" t="s">
        <v>38</v>
      </c>
      <c r="F76" s="42">
        <v>21.13</v>
      </c>
      <c r="G76" s="43" t="s">
        <v>71</v>
      </c>
      <c r="H76" s="36">
        <v>0.28000000000000003</v>
      </c>
    </row>
    <row r="77" spans="2:8" x14ac:dyDescent="0.2">
      <c r="B77" s="44" t="s">
        <v>219</v>
      </c>
      <c r="C77" s="44" t="s">
        <v>220</v>
      </c>
      <c r="D77" s="44" t="s">
        <v>204</v>
      </c>
      <c r="E77" s="45" t="s">
        <v>38</v>
      </c>
      <c r="F77" s="46">
        <v>22.52</v>
      </c>
      <c r="G77" s="47" t="s">
        <v>71</v>
      </c>
      <c r="H77" s="38">
        <v>0.28000000000000003</v>
      </c>
    </row>
    <row r="78" spans="2:8" x14ac:dyDescent="0.2">
      <c r="B78" s="40" t="s">
        <v>221</v>
      </c>
      <c r="C78" s="40" t="s">
        <v>222</v>
      </c>
      <c r="D78" s="40" t="s">
        <v>204</v>
      </c>
      <c r="E78" s="41" t="s">
        <v>30</v>
      </c>
      <c r="F78" s="42">
        <v>19.239999999999998</v>
      </c>
      <c r="G78" s="43" t="s">
        <v>71</v>
      </c>
      <c r="H78" s="36">
        <v>0.28000000000000003</v>
      </c>
    </row>
    <row r="79" spans="2:8" x14ac:dyDescent="0.2">
      <c r="B79" s="44" t="s">
        <v>223</v>
      </c>
      <c r="C79" s="44" t="s">
        <v>224</v>
      </c>
      <c r="D79" s="44" t="s">
        <v>204</v>
      </c>
      <c r="E79" s="45" t="s">
        <v>30</v>
      </c>
      <c r="F79" s="46">
        <v>21.17</v>
      </c>
      <c r="G79" s="47" t="s">
        <v>71</v>
      </c>
      <c r="H79" s="38">
        <v>0.28000000000000003</v>
      </c>
    </row>
    <row r="80" spans="2:8" x14ac:dyDescent="0.2">
      <c r="B80" s="40" t="s">
        <v>225</v>
      </c>
      <c r="C80" s="40" t="s">
        <v>226</v>
      </c>
      <c r="D80" s="40" t="s">
        <v>204</v>
      </c>
      <c r="E80" s="41" t="s">
        <v>30</v>
      </c>
      <c r="F80" s="42">
        <v>31.15</v>
      </c>
      <c r="G80" s="43" t="s">
        <v>71</v>
      </c>
      <c r="H80" s="36">
        <v>0.28000000000000003</v>
      </c>
    </row>
    <row r="81" spans="2:8" x14ac:dyDescent="0.2">
      <c r="B81" s="44" t="s">
        <v>227</v>
      </c>
      <c r="C81" s="44" t="s">
        <v>228</v>
      </c>
      <c r="D81" s="44" t="s">
        <v>204</v>
      </c>
      <c r="E81" s="45" t="s">
        <v>30</v>
      </c>
      <c r="F81" s="46">
        <v>23.67</v>
      </c>
      <c r="G81" s="47" t="s">
        <v>71</v>
      </c>
      <c r="H81" s="38">
        <v>0.28000000000000003</v>
      </c>
    </row>
    <row r="82" spans="2:8" x14ac:dyDescent="0.2">
      <c r="B82" s="40" t="s">
        <v>229</v>
      </c>
      <c r="C82" s="40" t="s">
        <v>230</v>
      </c>
      <c r="D82" s="40" t="s">
        <v>204</v>
      </c>
      <c r="E82" s="41" t="s">
        <v>38</v>
      </c>
      <c r="F82" s="42">
        <v>35.18</v>
      </c>
      <c r="G82" s="43" t="s">
        <v>71</v>
      </c>
      <c r="H82" s="36">
        <v>0.28000000000000003</v>
      </c>
    </row>
    <row r="83" spans="2:8" x14ac:dyDescent="0.2">
      <c r="B83" s="44" t="s">
        <v>231</v>
      </c>
      <c r="C83" s="44" t="s">
        <v>232</v>
      </c>
      <c r="D83" s="44" t="s">
        <v>204</v>
      </c>
      <c r="E83" s="45" t="s">
        <v>30</v>
      </c>
      <c r="F83" s="46">
        <v>13.48</v>
      </c>
      <c r="G83" s="47" t="s">
        <v>71</v>
      </c>
      <c r="H83" s="38">
        <v>0.28000000000000003</v>
      </c>
    </row>
    <row r="84" spans="2:8" x14ac:dyDescent="0.2">
      <c r="B84" s="40" t="s">
        <v>233</v>
      </c>
      <c r="C84" s="40" t="s">
        <v>234</v>
      </c>
      <c r="D84" s="40" t="s">
        <v>204</v>
      </c>
      <c r="E84" s="41" t="s">
        <v>20</v>
      </c>
      <c r="F84" s="42">
        <v>22.49</v>
      </c>
      <c r="G84" s="43" t="s">
        <v>71</v>
      </c>
      <c r="H84" s="36">
        <v>0.28000000000000003</v>
      </c>
    </row>
    <row r="85" spans="2:8" x14ac:dyDescent="0.2">
      <c r="B85" s="44" t="s">
        <v>235</v>
      </c>
      <c r="C85" s="44" t="s">
        <v>236</v>
      </c>
      <c r="D85" s="44" t="s">
        <v>204</v>
      </c>
      <c r="E85" s="45" t="s">
        <v>30</v>
      </c>
      <c r="F85" s="46">
        <v>18.100000000000001</v>
      </c>
      <c r="G85" s="47" t="s">
        <v>71</v>
      </c>
      <c r="H85" s="38">
        <v>0.28000000000000003</v>
      </c>
    </row>
    <row r="86" spans="2:8" x14ac:dyDescent="0.2">
      <c r="B86" s="40" t="s">
        <v>237</v>
      </c>
      <c r="C86" s="40" t="s">
        <v>238</v>
      </c>
      <c r="D86" s="40" t="s">
        <v>204</v>
      </c>
      <c r="E86" s="41" t="s">
        <v>30</v>
      </c>
      <c r="F86" s="42">
        <v>17.510000000000002</v>
      </c>
      <c r="G86" s="43" t="s">
        <v>71</v>
      </c>
      <c r="H86" s="36">
        <v>0.28000000000000003</v>
      </c>
    </row>
    <row r="87" spans="2:8" x14ac:dyDescent="0.2">
      <c r="B87" s="44" t="s">
        <v>239</v>
      </c>
      <c r="C87" s="44" t="s">
        <v>240</v>
      </c>
      <c r="D87" s="44" t="s">
        <v>204</v>
      </c>
      <c r="E87" s="45" t="s">
        <v>30</v>
      </c>
      <c r="F87" s="46">
        <v>19.39</v>
      </c>
      <c r="G87" s="47" t="s">
        <v>71</v>
      </c>
      <c r="H87" s="38">
        <v>0.28000000000000003</v>
      </c>
    </row>
    <row r="88" spans="2:8" x14ac:dyDescent="0.2">
      <c r="B88" s="40" t="s">
        <v>241</v>
      </c>
      <c r="C88" s="40" t="s">
        <v>242</v>
      </c>
      <c r="D88" s="40" t="s">
        <v>204</v>
      </c>
      <c r="E88" s="41" t="s">
        <v>30</v>
      </c>
      <c r="F88" s="42">
        <v>16.8</v>
      </c>
      <c r="G88" s="43" t="s">
        <v>71</v>
      </c>
      <c r="H88" s="36">
        <v>0.28000000000000003</v>
      </c>
    </row>
    <row r="89" spans="2:8" x14ac:dyDescent="0.2">
      <c r="B89" s="44" t="s">
        <v>243</v>
      </c>
      <c r="C89" s="44" t="s">
        <v>244</v>
      </c>
      <c r="D89" s="44" t="s">
        <v>204</v>
      </c>
      <c r="E89" s="45" t="s">
        <v>30</v>
      </c>
      <c r="F89" s="46">
        <v>23.75</v>
      </c>
      <c r="G89" s="47" t="s">
        <v>71</v>
      </c>
      <c r="H89" s="38">
        <v>0.28000000000000003</v>
      </c>
    </row>
    <row r="90" spans="2:8" x14ac:dyDescent="0.2">
      <c r="B90" s="40" t="s">
        <v>245</v>
      </c>
      <c r="C90" s="40" t="s">
        <v>246</v>
      </c>
      <c r="D90" s="40" t="s">
        <v>204</v>
      </c>
      <c r="E90" s="41" t="s">
        <v>30</v>
      </c>
      <c r="F90" s="42">
        <v>31.98</v>
      </c>
      <c r="G90" s="43" t="s">
        <v>71</v>
      </c>
      <c r="H90" s="36">
        <v>0.28000000000000003</v>
      </c>
    </row>
    <row r="91" spans="2:8" x14ac:dyDescent="0.2">
      <c r="B91" s="44" t="s">
        <v>247</v>
      </c>
      <c r="C91" s="44" t="s">
        <v>248</v>
      </c>
      <c r="D91" s="44" t="s">
        <v>204</v>
      </c>
      <c r="E91" s="45" t="s">
        <v>30</v>
      </c>
      <c r="F91" s="46">
        <v>28.08</v>
      </c>
      <c r="G91" s="47" t="s">
        <v>71</v>
      </c>
      <c r="H91" s="38">
        <v>0.28000000000000003</v>
      </c>
    </row>
    <row r="92" spans="2:8" x14ac:dyDescent="0.2">
      <c r="B92" s="40" t="s">
        <v>249</v>
      </c>
      <c r="C92" s="40" t="s">
        <v>250</v>
      </c>
      <c r="D92" s="40" t="s">
        <v>204</v>
      </c>
      <c r="E92" s="41" t="s">
        <v>30</v>
      </c>
      <c r="F92" s="42">
        <v>18.73</v>
      </c>
      <c r="G92" s="43" t="s">
        <v>71</v>
      </c>
      <c r="H92" s="36">
        <v>0.28000000000000003</v>
      </c>
    </row>
    <row r="93" spans="2:8" x14ac:dyDescent="0.2">
      <c r="B93" s="44" t="s">
        <v>251</v>
      </c>
      <c r="C93" s="44" t="s">
        <v>252</v>
      </c>
      <c r="D93" s="44" t="s">
        <v>204</v>
      </c>
      <c r="E93" s="45" t="s">
        <v>38</v>
      </c>
      <c r="F93" s="46">
        <v>9.24</v>
      </c>
      <c r="G93" s="47" t="s">
        <v>71</v>
      </c>
      <c r="H93" s="38">
        <v>0.28000000000000003</v>
      </c>
    </row>
    <row r="94" spans="2:8" x14ac:dyDescent="0.2">
      <c r="B94" s="40" t="s">
        <v>253</v>
      </c>
      <c r="C94" s="40" t="s">
        <v>254</v>
      </c>
      <c r="D94" s="40" t="s">
        <v>204</v>
      </c>
      <c r="E94" s="41" t="s">
        <v>38</v>
      </c>
      <c r="F94" s="42">
        <v>11.66</v>
      </c>
      <c r="G94" s="43" t="s">
        <v>71</v>
      </c>
      <c r="H94" s="36">
        <v>0.28000000000000003</v>
      </c>
    </row>
    <row r="95" spans="2:8" x14ac:dyDescent="0.2">
      <c r="B95" s="44" t="s">
        <v>255</v>
      </c>
      <c r="C95" s="44" t="s">
        <v>256</v>
      </c>
      <c r="D95" s="44" t="s">
        <v>204</v>
      </c>
      <c r="E95" s="45" t="s">
        <v>38</v>
      </c>
      <c r="F95" s="46">
        <v>13.14</v>
      </c>
      <c r="G95" s="47" t="s">
        <v>71</v>
      </c>
      <c r="H95" s="38">
        <v>0.28000000000000003</v>
      </c>
    </row>
    <row r="96" spans="2:8" x14ac:dyDescent="0.2">
      <c r="B96" s="40" t="s">
        <v>257</v>
      </c>
      <c r="C96" s="40" t="s">
        <v>258</v>
      </c>
      <c r="D96" s="40" t="s">
        <v>204</v>
      </c>
      <c r="E96" s="41" t="s">
        <v>38</v>
      </c>
      <c r="F96" s="42">
        <v>18.75</v>
      </c>
      <c r="G96" s="43" t="s">
        <v>71</v>
      </c>
      <c r="H96" s="36">
        <v>0.28000000000000003</v>
      </c>
    </row>
    <row r="97" spans="2:8" x14ac:dyDescent="0.2">
      <c r="B97" s="44" t="s">
        <v>259</v>
      </c>
      <c r="C97" s="44" t="s">
        <v>260</v>
      </c>
      <c r="D97" s="44" t="s">
        <v>204</v>
      </c>
      <c r="E97" s="45" t="s">
        <v>30</v>
      </c>
      <c r="F97" s="46">
        <v>12.53</v>
      </c>
      <c r="G97" s="47" t="s">
        <v>71</v>
      </c>
      <c r="H97" s="38">
        <v>0.28000000000000003</v>
      </c>
    </row>
    <row r="98" spans="2:8" x14ac:dyDescent="0.2">
      <c r="B98" s="40" t="s">
        <v>261</v>
      </c>
      <c r="C98" s="40" t="s">
        <v>262</v>
      </c>
      <c r="D98" s="40" t="s">
        <v>204</v>
      </c>
      <c r="E98" s="41" t="s">
        <v>38</v>
      </c>
      <c r="F98" s="42">
        <v>18.510000000000002</v>
      </c>
      <c r="G98" s="43" t="s">
        <v>71</v>
      </c>
      <c r="H98" s="36">
        <v>0.28000000000000003</v>
      </c>
    </row>
    <row r="99" spans="2:8" x14ac:dyDescent="0.2">
      <c r="B99" s="44" t="s">
        <v>263</v>
      </c>
      <c r="C99" s="44" t="s">
        <v>264</v>
      </c>
      <c r="D99" s="44" t="s">
        <v>204</v>
      </c>
      <c r="E99" s="45" t="s">
        <v>38</v>
      </c>
      <c r="F99" s="46">
        <v>14.29</v>
      </c>
      <c r="G99" s="47" t="s">
        <v>71</v>
      </c>
      <c r="H99" s="38">
        <v>0.28000000000000003</v>
      </c>
    </row>
    <row r="100" spans="2:8" x14ac:dyDescent="0.2">
      <c r="B100" s="40" t="s">
        <v>265</v>
      </c>
      <c r="C100" s="40" t="s">
        <v>266</v>
      </c>
      <c r="D100" s="40" t="s">
        <v>204</v>
      </c>
      <c r="E100" s="41" t="s">
        <v>38</v>
      </c>
      <c r="F100" s="42">
        <v>14.98</v>
      </c>
      <c r="G100" s="43" t="s">
        <v>71</v>
      </c>
      <c r="H100" s="36">
        <v>0.28000000000000003</v>
      </c>
    </row>
    <row r="101" spans="2:8" x14ac:dyDescent="0.2">
      <c r="B101" s="44" t="s">
        <v>267</v>
      </c>
      <c r="C101" s="44" t="s">
        <v>268</v>
      </c>
      <c r="D101" s="44" t="s">
        <v>204</v>
      </c>
      <c r="E101" s="45" t="s">
        <v>38</v>
      </c>
      <c r="F101" s="46">
        <v>22.23</v>
      </c>
      <c r="G101" s="47" t="s">
        <v>71</v>
      </c>
      <c r="H101" s="38">
        <v>0.28000000000000003</v>
      </c>
    </row>
    <row r="102" spans="2:8" x14ac:dyDescent="0.2">
      <c r="B102" s="40" t="s">
        <v>269</v>
      </c>
      <c r="C102" s="40" t="s">
        <v>270</v>
      </c>
      <c r="D102" s="40" t="s">
        <v>204</v>
      </c>
      <c r="E102" s="41" t="s">
        <v>38</v>
      </c>
      <c r="F102" s="42">
        <v>23.77</v>
      </c>
      <c r="G102" s="43" t="s">
        <v>71</v>
      </c>
      <c r="H102" s="36">
        <v>0.28000000000000003</v>
      </c>
    </row>
    <row r="103" spans="2:8" x14ac:dyDescent="0.2">
      <c r="B103" s="44" t="s">
        <v>271</v>
      </c>
      <c r="C103" s="44" t="s">
        <v>272</v>
      </c>
      <c r="D103" s="44" t="s">
        <v>204</v>
      </c>
      <c r="E103" s="45" t="s">
        <v>30</v>
      </c>
      <c r="F103" s="46">
        <v>28.89</v>
      </c>
      <c r="G103" s="47" t="s">
        <v>71</v>
      </c>
      <c r="H103" s="38">
        <v>0.28000000000000003</v>
      </c>
    </row>
    <row r="104" spans="2:8" x14ac:dyDescent="0.2">
      <c r="B104" s="40" t="s">
        <v>273</v>
      </c>
      <c r="C104" s="40" t="s">
        <v>274</v>
      </c>
      <c r="D104" s="40" t="s">
        <v>204</v>
      </c>
      <c r="E104" s="41" t="s">
        <v>38</v>
      </c>
      <c r="F104" s="42">
        <v>14.09</v>
      </c>
      <c r="G104" s="43" t="s">
        <v>71</v>
      </c>
      <c r="H104" s="36">
        <v>0.28000000000000003</v>
      </c>
    </row>
    <row r="105" spans="2:8" x14ac:dyDescent="0.2">
      <c r="B105" s="44" t="s">
        <v>275</v>
      </c>
      <c r="C105" s="44" t="s">
        <v>276</v>
      </c>
      <c r="D105" s="44" t="s">
        <v>204</v>
      </c>
      <c r="E105" s="45" t="s">
        <v>38</v>
      </c>
      <c r="F105" s="46">
        <v>31.21</v>
      </c>
      <c r="G105" s="47" t="s">
        <v>71</v>
      </c>
      <c r="H105" s="38">
        <v>0.28000000000000003</v>
      </c>
    </row>
    <row r="106" spans="2:8" x14ac:dyDescent="0.2">
      <c r="B106" s="40" t="s">
        <v>277</v>
      </c>
      <c r="C106" s="40" t="s">
        <v>278</v>
      </c>
      <c r="D106" s="40" t="s">
        <v>204</v>
      </c>
      <c r="E106" s="41" t="s">
        <v>38</v>
      </c>
      <c r="F106" s="42">
        <v>11.41</v>
      </c>
      <c r="G106" s="43" t="s">
        <v>71</v>
      </c>
      <c r="H106" s="36">
        <v>0.28000000000000003</v>
      </c>
    </row>
    <row r="107" spans="2:8" x14ac:dyDescent="0.2">
      <c r="B107" s="44" t="s">
        <v>279</v>
      </c>
      <c r="C107" s="44" t="s">
        <v>280</v>
      </c>
      <c r="D107" s="44" t="s">
        <v>204</v>
      </c>
      <c r="E107" s="45" t="s">
        <v>38</v>
      </c>
      <c r="F107" s="46">
        <v>12.68</v>
      </c>
      <c r="G107" s="47" t="s">
        <v>71</v>
      </c>
      <c r="H107" s="38">
        <v>0.28000000000000003</v>
      </c>
    </row>
    <row r="108" spans="2:8" x14ac:dyDescent="0.2">
      <c r="B108" s="40" t="s">
        <v>281</v>
      </c>
      <c r="C108" s="40" t="s">
        <v>282</v>
      </c>
      <c r="D108" s="40" t="s">
        <v>204</v>
      </c>
      <c r="E108" s="41" t="s">
        <v>38</v>
      </c>
      <c r="F108" s="42">
        <v>13.6</v>
      </c>
      <c r="G108" s="43" t="s">
        <v>71</v>
      </c>
      <c r="H108" s="36">
        <v>0.28000000000000003</v>
      </c>
    </row>
    <row r="109" spans="2:8" x14ac:dyDescent="0.2">
      <c r="B109" s="44" t="s">
        <v>283</v>
      </c>
      <c r="C109" s="44" t="s">
        <v>284</v>
      </c>
      <c r="D109" s="44" t="s">
        <v>204</v>
      </c>
      <c r="E109" s="45" t="s">
        <v>38</v>
      </c>
      <c r="F109" s="46">
        <v>27.13</v>
      </c>
      <c r="G109" s="47" t="s">
        <v>71</v>
      </c>
      <c r="H109" s="38">
        <v>0.28000000000000003</v>
      </c>
    </row>
    <row r="110" spans="2:8" x14ac:dyDescent="0.2">
      <c r="B110" s="40" t="s">
        <v>285</v>
      </c>
      <c r="C110" s="40" t="s">
        <v>286</v>
      </c>
      <c r="D110" s="40" t="s">
        <v>204</v>
      </c>
      <c r="E110" s="41" t="s">
        <v>32</v>
      </c>
      <c r="F110" s="42">
        <v>33.450000000000003</v>
      </c>
      <c r="G110" s="43" t="s">
        <v>71</v>
      </c>
      <c r="H110" s="36">
        <v>0.28000000000000003</v>
      </c>
    </row>
    <row r="111" spans="2:8" x14ac:dyDescent="0.2">
      <c r="B111" s="44" t="s">
        <v>287</v>
      </c>
      <c r="C111" s="44" t="s">
        <v>288</v>
      </c>
      <c r="D111" s="44" t="s">
        <v>204</v>
      </c>
      <c r="E111" s="45" t="s">
        <v>38</v>
      </c>
      <c r="F111" s="46">
        <v>29.22</v>
      </c>
      <c r="G111" s="47" t="s">
        <v>71</v>
      </c>
      <c r="H111" s="38">
        <v>0.28000000000000003</v>
      </c>
    </row>
    <row r="112" spans="2:8" x14ac:dyDescent="0.2">
      <c r="B112" s="40" t="s">
        <v>289</v>
      </c>
      <c r="C112" s="40" t="s">
        <v>290</v>
      </c>
      <c r="D112" s="40" t="s">
        <v>204</v>
      </c>
      <c r="E112" s="41" t="s">
        <v>38</v>
      </c>
      <c r="F112" s="42">
        <v>21.63</v>
      </c>
      <c r="G112" s="43" t="s">
        <v>71</v>
      </c>
      <c r="H112" s="36">
        <v>0.28000000000000003</v>
      </c>
    </row>
    <row r="113" spans="2:8" x14ac:dyDescent="0.2">
      <c r="B113" s="44" t="s">
        <v>291</v>
      </c>
      <c r="C113" s="44" t="s">
        <v>292</v>
      </c>
      <c r="D113" s="44" t="s">
        <v>204</v>
      </c>
      <c r="E113" s="45" t="s">
        <v>28</v>
      </c>
      <c r="F113" s="46">
        <v>37.54</v>
      </c>
      <c r="G113" s="47" t="s">
        <v>71</v>
      </c>
      <c r="H113" s="38">
        <v>0.28000000000000003</v>
      </c>
    </row>
    <row r="114" spans="2:8" x14ac:dyDescent="0.2">
      <c r="B114" s="40" t="s">
        <v>293</v>
      </c>
      <c r="C114" s="40" t="s">
        <v>294</v>
      </c>
      <c r="D114" s="40" t="s">
        <v>204</v>
      </c>
      <c r="E114" s="41" t="s">
        <v>19</v>
      </c>
      <c r="F114" s="42">
        <v>42.51</v>
      </c>
      <c r="G114" s="43" t="s">
        <v>71</v>
      </c>
      <c r="H114" s="36">
        <v>0.28000000000000003</v>
      </c>
    </row>
    <row r="115" spans="2:8" x14ac:dyDescent="0.2">
      <c r="B115" s="44" t="s">
        <v>295</v>
      </c>
      <c r="C115" s="44" t="s">
        <v>296</v>
      </c>
      <c r="D115" s="44" t="s">
        <v>297</v>
      </c>
      <c r="E115" s="45" t="s">
        <v>38</v>
      </c>
      <c r="F115" s="46">
        <v>24.11</v>
      </c>
      <c r="G115" s="47" t="s">
        <v>71</v>
      </c>
      <c r="H115" s="38">
        <v>0.35</v>
      </c>
    </row>
    <row r="116" spans="2:8" x14ac:dyDescent="0.2">
      <c r="B116" s="40" t="s">
        <v>298</v>
      </c>
      <c r="C116" s="40" t="s">
        <v>299</v>
      </c>
      <c r="D116" s="40" t="s">
        <v>297</v>
      </c>
      <c r="E116" s="41" t="s">
        <v>38</v>
      </c>
      <c r="F116" s="42">
        <v>28</v>
      </c>
      <c r="G116" s="43" t="s">
        <v>71</v>
      </c>
      <c r="H116" s="36">
        <v>0.35</v>
      </c>
    </row>
    <row r="117" spans="2:8" x14ac:dyDescent="0.2">
      <c r="B117" s="44" t="s">
        <v>300</v>
      </c>
      <c r="C117" s="44" t="s">
        <v>301</v>
      </c>
      <c r="D117" s="44" t="s">
        <v>297</v>
      </c>
      <c r="E117" s="45" t="s">
        <v>38</v>
      </c>
      <c r="F117" s="46">
        <v>29.79</v>
      </c>
      <c r="G117" s="47" t="s">
        <v>71</v>
      </c>
      <c r="H117" s="38">
        <v>0.35</v>
      </c>
    </row>
    <row r="118" spans="2:8" x14ac:dyDescent="0.2">
      <c r="B118" s="40" t="s">
        <v>302</v>
      </c>
      <c r="C118" s="40" t="s">
        <v>303</v>
      </c>
      <c r="D118" s="40" t="s">
        <v>297</v>
      </c>
      <c r="E118" s="41" t="s">
        <v>38</v>
      </c>
      <c r="F118" s="42">
        <v>50.78</v>
      </c>
      <c r="G118" s="43" t="s">
        <v>71</v>
      </c>
      <c r="H118" s="36">
        <v>0.35</v>
      </c>
    </row>
    <row r="119" spans="2:8" x14ac:dyDescent="0.2">
      <c r="B119" s="44" t="s">
        <v>304</v>
      </c>
      <c r="C119" s="44" t="s">
        <v>305</v>
      </c>
      <c r="D119" s="44" t="s">
        <v>297</v>
      </c>
      <c r="E119" s="45" t="s">
        <v>22</v>
      </c>
      <c r="F119" s="46">
        <v>82.28</v>
      </c>
      <c r="G119" s="47" t="s">
        <v>71</v>
      </c>
      <c r="H119" s="38">
        <v>0.35</v>
      </c>
    </row>
    <row r="120" spans="2:8" x14ac:dyDescent="0.2">
      <c r="B120" s="40" t="s">
        <v>306</v>
      </c>
      <c r="C120" s="40" t="s">
        <v>307</v>
      </c>
      <c r="D120" s="40" t="s">
        <v>297</v>
      </c>
      <c r="E120" s="41" t="s">
        <v>34</v>
      </c>
      <c r="F120" s="42">
        <v>46.78</v>
      </c>
      <c r="G120" s="43" t="s">
        <v>71</v>
      </c>
      <c r="H120" s="36">
        <v>0.35</v>
      </c>
    </row>
    <row r="121" spans="2:8" x14ac:dyDescent="0.2">
      <c r="B121" s="44" t="s">
        <v>308</v>
      </c>
      <c r="C121" s="44" t="s">
        <v>309</v>
      </c>
      <c r="D121" s="44" t="s">
        <v>297</v>
      </c>
      <c r="E121" s="45" t="s">
        <v>38</v>
      </c>
      <c r="F121" s="46">
        <v>39.67</v>
      </c>
      <c r="G121" s="47" t="s">
        <v>71</v>
      </c>
      <c r="H121" s="38">
        <v>0.35</v>
      </c>
    </row>
    <row r="122" spans="2:8" x14ac:dyDescent="0.2">
      <c r="B122" s="40" t="s">
        <v>310</v>
      </c>
      <c r="C122" s="40" t="s">
        <v>311</v>
      </c>
      <c r="D122" s="40" t="s">
        <v>297</v>
      </c>
      <c r="E122" s="41" t="s">
        <v>34</v>
      </c>
      <c r="F122" s="42">
        <v>34.090000000000003</v>
      </c>
      <c r="G122" s="43" t="s">
        <v>71</v>
      </c>
      <c r="H122" s="36">
        <v>0.35</v>
      </c>
    </row>
    <row r="123" spans="2:8" x14ac:dyDescent="0.2">
      <c r="B123" s="44" t="s">
        <v>312</v>
      </c>
      <c r="C123" s="44" t="s">
        <v>313</v>
      </c>
      <c r="D123" s="44" t="s">
        <v>297</v>
      </c>
      <c r="E123" s="45" t="s">
        <v>34</v>
      </c>
      <c r="F123" s="46">
        <v>31.83</v>
      </c>
      <c r="G123" s="47" t="s">
        <v>71</v>
      </c>
      <c r="H123" s="38">
        <v>0.35</v>
      </c>
    </row>
    <row r="124" spans="2:8" x14ac:dyDescent="0.2">
      <c r="B124" s="40" t="s">
        <v>314</v>
      </c>
      <c r="C124" s="40" t="s">
        <v>315</v>
      </c>
      <c r="D124" s="40" t="s">
        <v>297</v>
      </c>
      <c r="E124" s="41" t="s">
        <v>22</v>
      </c>
      <c r="F124" s="42">
        <v>67.959999999999994</v>
      </c>
      <c r="G124" s="43" t="s">
        <v>71</v>
      </c>
      <c r="H124" s="36">
        <v>0.35</v>
      </c>
    </row>
    <row r="125" spans="2:8" x14ac:dyDescent="0.2">
      <c r="B125" s="44" t="s">
        <v>316</v>
      </c>
      <c r="C125" s="44" t="s">
        <v>317</v>
      </c>
      <c r="D125" s="44" t="s">
        <v>297</v>
      </c>
      <c r="E125" s="45" t="s">
        <v>22</v>
      </c>
      <c r="F125" s="46">
        <v>161.58000000000001</v>
      </c>
      <c r="G125" s="47" t="s">
        <v>71</v>
      </c>
      <c r="H125" s="38">
        <v>0.35</v>
      </c>
    </row>
    <row r="126" spans="2:8" x14ac:dyDescent="0.2">
      <c r="B126" s="40" t="s">
        <v>318</v>
      </c>
      <c r="C126" s="40" t="s">
        <v>319</v>
      </c>
      <c r="D126" s="40" t="s">
        <v>320</v>
      </c>
      <c r="E126" s="41" t="s">
        <v>30</v>
      </c>
      <c r="F126" s="42">
        <v>14.67</v>
      </c>
      <c r="G126" s="43" t="s">
        <v>71</v>
      </c>
      <c r="H126" s="36">
        <v>0.4</v>
      </c>
    </row>
    <row r="127" spans="2:8" x14ac:dyDescent="0.2">
      <c r="B127" s="44" t="s">
        <v>321</v>
      </c>
      <c r="C127" s="44" t="s">
        <v>322</v>
      </c>
      <c r="D127" s="44" t="s">
        <v>320</v>
      </c>
      <c r="E127" s="45" t="s">
        <v>38</v>
      </c>
      <c r="F127" s="46">
        <v>15.18</v>
      </c>
      <c r="G127" s="47" t="s">
        <v>71</v>
      </c>
      <c r="H127" s="38">
        <v>0.4</v>
      </c>
    </row>
    <row r="128" spans="2:8" x14ac:dyDescent="0.2">
      <c r="B128" s="40" t="s">
        <v>323</v>
      </c>
      <c r="C128" s="40" t="s">
        <v>324</v>
      </c>
      <c r="D128" s="40" t="s">
        <v>320</v>
      </c>
      <c r="E128" s="41" t="s">
        <v>38</v>
      </c>
      <c r="F128" s="42">
        <v>11</v>
      </c>
      <c r="G128" s="43" t="s">
        <v>71</v>
      </c>
      <c r="H128" s="36">
        <v>0.4</v>
      </c>
    </row>
    <row r="129" spans="2:8" x14ac:dyDescent="0.2">
      <c r="B129" s="44" t="s">
        <v>325</v>
      </c>
      <c r="C129" s="44" t="s">
        <v>326</v>
      </c>
      <c r="D129" s="44" t="s">
        <v>320</v>
      </c>
      <c r="E129" s="45" t="s">
        <v>38</v>
      </c>
      <c r="F129" s="46">
        <v>18.59</v>
      </c>
      <c r="G129" s="47" t="s">
        <v>71</v>
      </c>
      <c r="H129" s="38">
        <v>0.4</v>
      </c>
    </row>
    <row r="130" spans="2:8" x14ac:dyDescent="0.2">
      <c r="B130" s="40" t="s">
        <v>327</v>
      </c>
      <c r="C130" s="40" t="s">
        <v>328</v>
      </c>
      <c r="D130" s="40" t="s">
        <v>320</v>
      </c>
      <c r="E130" s="41" t="s">
        <v>38</v>
      </c>
      <c r="F130" s="42">
        <v>14.16</v>
      </c>
      <c r="G130" s="43" t="s">
        <v>71</v>
      </c>
      <c r="H130" s="36">
        <v>0.4</v>
      </c>
    </row>
    <row r="131" spans="2:8" x14ac:dyDescent="0.2">
      <c r="B131" s="44" t="s">
        <v>329</v>
      </c>
      <c r="C131" s="44" t="s">
        <v>330</v>
      </c>
      <c r="D131" s="44" t="s">
        <v>320</v>
      </c>
      <c r="E131" s="45" t="s">
        <v>36</v>
      </c>
      <c r="F131" s="46">
        <v>31.29</v>
      </c>
      <c r="G131" s="47" t="s">
        <v>71</v>
      </c>
      <c r="H131" s="38">
        <v>0.4</v>
      </c>
    </row>
    <row r="132" spans="2:8" x14ac:dyDescent="0.2">
      <c r="B132" s="40" t="s">
        <v>331</v>
      </c>
      <c r="C132" s="40" t="s">
        <v>332</v>
      </c>
      <c r="D132" s="40" t="s">
        <v>320</v>
      </c>
      <c r="E132" s="41" t="s">
        <v>36</v>
      </c>
      <c r="F132" s="42">
        <v>34.79</v>
      </c>
      <c r="G132" s="43" t="s">
        <v>71</v>
      </c>
      <c r="H132" s="36">
        <v>0.4</v>
      </c>
    </row>
    <row r="133" spans="2:8" x14ac:dyDescent="0.2">
      <c r="B133" s="44" t="s">
        <v>333</v>
      </c>
      <c r="C133" s="44" t="s">
        <v>334</v>
      </c>
      <c r="D133" s="44" t="s">
        <v>320</v>
      </c>
      <c r="E133" s="45" t="s">
        <v>38</v>
      </c>
      <c r="F133" s="46">
        <v>24.65</v>
      </c>
      <c r="G133" s="47" t="s">
        <v>71</v>
      </c>
      <c r="H133" s="38">
        <v>0.4</v>
      </c>
    </row>
    <row r="134" spans="2:8" x14ac:dyDescent="0.2">
      <c r="B134" s="40" t="s">
        <v>335</v>
      </c>
      <c r="C134" s="40" t="s">
        <v>336</v>
      </c>
      <c r="D134" s="40" t="s">
        <v>320</v>
      </c>
      <c r="E134" s="41" t="s">
        <v>38</v>
      </c>
      <c r="F134" s="42">
        <v>18.46</v>
      </c>
      <c r="G134" s="43" t="s">
        <v>71</v>
      </c>
      <c r="H134" s="36">
        <v>0.4</v>
      </c>
    </row>
    <row r="135" spans="2:8" x14ac:dyDescent="0.2">
      <c r="B135" s="44" t="s">
        <v>337</v>
      </c>
      <c r="C135" s="44" t="s">
        <v>338</v>
      </c>
      <c r="D135" s="44" t="s">
        <v>320</v>
      </c>
      <c r="E135" s="45" t="s">
        <v>38</v>
      </c>
      <c r="F135" s="46">
        <v>18.46</v>
      </c>
      <c r="G135" s="47" t="s">
        <v>71</v>
      </c>
      <c r="H135" s="38">
        <v>0.4</v>
      </c>
    </row>
    <row r="136" spans="2:8" x14ac:dyDescent="0.2">
      <c r="B136" s="40" t="s">
        <v>339</v>
      </c>
      <c r="C136" s="40" t="s">
        <v>340</v>
      </c>
      <c r="D136" s="40" t="s">
        <v>320</v>
      </c>
      <c r="E136" s="41" t="s">
        <v>30</v>
      </c>
      <c r="F136" s="42">
        <v>23.02</v>
      </c>
      <c r="G136" s="43" t="s">
        <v>71</v>
      </c>
      <c r="H136" s="36">
        <v>0.4</v>
      </c>
    </row>
    <row r="137" spans="2:8" x14ac:dyDescent="0.2">
      <c r="B137" s="44" t="s">
        <v>341</v>
      </c>
      <c r="C137" s="44" t="s">
        <v>342</v>
      </c>
      <c r="D137" s="44" t="s">
        <v>320</v>
      </c>
      <c r="E137" s="45" t="s">
        <v>38</v>
      </c>
      <c r="F137" s="46">
        <v>27.58</v>
      </c>
      <c r="G137" s="47" t="s">
        <v>71</v>
      </c>
      <c r="H137" s="38">
        <v>0.4</v>
      </c>
    </row>
    <row r="138" spans="2:8" x14ac:dyDescent="0.2">
      <c r="B138" s="40" t="s">
        <v>343</v>
      </c>
      <c r="C138" s="40" t="s">
        <v>344</v>
      </c>
      <c r="D138" s="40" t="s">
        <v>320</v>
      </c>
      <c r="E138" s="41" t="s">
        <v>38</v>
      </c>
      <c r="F138" s="42">
        <v>24.86</v>
      </c>
      <c r="G138" s="43" t="s">
        <v>71</v>
      </c>
      <c r="H138" s="36">
        <v>0.4</v>
      </c>
    </row>
    <row r="139" spans="2:8" x14ac:dyDescent="0.2">
      <c r="B139" s="44" t="s">
        <v>345</v>
      </c>
      <c r="C139" s="44" t="s">
        <v>346</v>
      </c>
      <c r="D139" s="44" t="s">
        <v>320</v>
      </c>
      <c r="E139" s="45" t="s">
        <v>38</v>
      </c>
      <c r="F139" s="46">
        <v>21.89</v>
      </c>
      <c r="G139" s="47" t="s">
        <v>71</v>
      </c>
      <c r="H139" s="38">
        <v>0.4</v>
      </c>
    </row>
    <row r="140" spans="2:8" x14ac:dyDescent="0.2">
      <c r="B140" s="40" t="s">
        <v>347</v>
      </c>
      <c r="C140" s="40" t="s">
        <v>348</v>
      </c>
      <c r="D140" s="40" t="s">
        <v>320</v>
      </c>
      <c r="E140" s="41" t="s">
        <v>38</v>
      </c>
      <c r="F140" s="42">
        <v>22.55</v>
      </c>
      <c r="G140" s="43" t="s">
        <v>71</v>
      </c>
      <c r="H140" s="36">
        <v>0.4</v>
      </c>
    </row>
    <row r="141" spans="2:8" x14ac:dyDescent="0.2">
      <c r="B141" s="44" t="s">
        <v>349</v>
      </c>
      <c r="C141" s="44" t="s">
        <v>350</v>
      </c>
      <c r="D141" s="44" t="s">
        <v>351</v>
      </c>
      <c r="E141" s="45" t="s">
        <v>30</v>
      </c>
      <c r="F141" s="46">
        <v>22.08</v>
      </c>
      <c r="G141" s="47" t="s">
        <v>71</v>
      </c>
      <c r="H141" s="38">
        <v>0.3</v>
      </c>
    </row>
    <row r="142" spans="2:8" x14ac:dyDescent="0.2">
      <c r="B142" s="40" t="s">
        <v>352</v>
      </c>
      <c r="C142" s="40" t="s">
        <v>353</v>
      </c>
      <c r="D142" s="40" t="s">
        <v>351</v>
      </c>
      <c r="E142" s="41" t="s">
        <v>25</v>
      </c>
      <c r="F142" s="42">
        <v>24.13</v>
      </c>
      <c r="G142" s="43" t="s">
        <v>71</v>
      </c>
      <c r="H142" s="36">
        <v>0.3</v>
      </c>
    </row>
    <row r="143" spans="2:8" x14ac:dyDescent="0.2">
      <c r="B143" s="44" t="s">
        <v>354</v>
      </c>
      <c r="C143" s="44" t="s">
        <v>355</v>
      </c>
      <c r="D143" s="44" t="s">
        <v>351</v>
      </c>
      <c r="E143" s="45" t="s">
        <v>30</v>
      </c>
      <c r="F143" s="46">
        <v>15.03</v>
      </c>
      <c r="G143" s="47" t="s">
        <v>71</v>
      </c>
      <c r="H143" s="38">
        <v>0.3</v>
      </c>
    </row>
    <row r="144" spans="2:8" x14ac:dyDescent="0.2">
      <c r="B144" s="40" t="s">
        <v>356</v>
      </c>
      <c r="C144" s="40" t="s">
        <v>357</v>
      </c>
      <c r="D144" s="40" t="s">
        <v>351</v>
      </c>
      <c r="E144" s="41" t="s">
        <v>30</v>
      </c>
      <c r="F144" s="42">
        <v>21.8</v>
      </c>
      <c r="G144" s="43" t="s">
        <v>71</v>
      </c>
      <c r="H144" s="36">
        <v>0.3</v>
      </c>
    </row>
    <row r="145" spans="2:8" x14ac:dyDescent="0.2">
      <c r="B145" s="44" t="s">
        <v>358</v>
      </c>
      <c r="C145" s="44" t="s">
        <v>359</v>
      </c>
      <c r="D145" s="44" t="s">
        <v>351</v>
      </c>
      <c r="E145" s="45" t="s">
        <v>38</v>
      </c>
      <c r="F145" s="46">
        <v>29.5</v>
      </c>
      <c r="G145" s="47" t="s">
        <v>71</v>
      </c>
      <c r="H145" s="38">
        <v>0.3</v>
      </c>
    </row>
    <row r="146" spans="2:8" x14ac:dyDescent="0.2">
      <c r="B146" s="40" t="s">
        <v>360</v>
      </c>
      <c r="C146" s="40" t="s">
        <v>361</v>
      </c>
      <c r="D146" s="40" t="s">
        <v>351</v>
      </c>
      <c r="E146" s="41" t="s">
        <v>24</v>
      </c>
      <c r="F146" s="42">
        <v>16.12</v>
      </c>
      <c r="G146" s="43" t="s">
        <v>71</v>
      </c>
      <c r="H146" s="36">
        <v>0.3</v>
      </c>
    </row>
    <row r="147" spans="2:8" x14ac:dyDescent="0.2">
      <c r="B147" s="44" t="s">
        <v>362</v>
      </c>
      <c r="C147" s="44" t="s">
        <v>363</v>
      </c>
      <c r="D147" s="44" t="s">
        <v>351</v>
      </c>
      <c r="E147" s="45" t="s">
        <v>24</v>
      </c>
      <c r="F147" s="46">
        <v>24.98</v>
      </c>
      <c r="G147" s="47" t="s">
        <v>71</v>
      </c>
      <c r="H147" s="38">
        <v>0.3</v>
      </c>
    </row>
    <row r="148" spans="2:8" x14ac:dyDescent="0.2">
      <c r="B148" s="40" t="s">
        <v>364</v>
      </c>
      <c r="C148" s="40" t="s">
        <v>365</v>
      </c>
      <c r="D148" s="40" t="s">
        <v>351</v>
      </c>
      <c r="E148" s="41" t="s">
        <v>25</v>
      </c>
      <c r="F148" s="42">
        <v>16.54</v>
      </c>
      <c r="G148" s="43" t="s">
        <v>71</v>
      </c>
      <c r="H148" s="36">
        <v>0.3</v>
      </c>
    </row>
    <row r="149" spans="2:8" x14ac:dyDescent="0.2">
      <c r="B149" s="44" t="s">
        <v>366</v>
      </c>
      <c r="C149" s="44" t="s">
        <v>367</v>
      </c>
      <c r="D149" s="44" t="s">
        <v>351</v>
      </c>
      <c r="E149" s="45" t="s">
        <v>25</v>
      </c>
      <c r="F149" s="46">
        <v>19.690000000000001</v>
      </c>
      <c r="G149" s="47" t="s">
        <v>71</v>
      </c>
      <c r="H149" s="38">
        <v>0.3</v>
      </c>
    </row>
    <row r="150" spans="2:8" x14ac:dyDescent="0.2">
      <c r="B150" s="40" t="s">
        <v>368</v>
      </c>
      <c r="C150" s="40" t="s">
        <v>369</v>
      </c>
      <c r="D150" s="40" t="s">
        <v>351</v>
      </c>
      <c r="E150" s="41" t="s">
        <v>25</v>
      </c>
      <c r="F150" s="42">
        <v>20.309999999999999</v>
      </c>
      <c r="G150" s="43" t="s">
        <v>71</v>
      </c>
      <c r="H150" s="36">
        <v>0.3</v>
      </c>
    </row>
    <row r="151" spans="2:8" x14ac:dyDescent="0.2">
      <c r="B151" s="44" t="s">
        <v>370</v>
      </c>
      <c r="C151" s="44" t="s">
        <v>371</v>
      </c>
      <c r="D151" s="44" t="s">
        <v>351</v>
      </c>
      <c r="E151" s="45" t="s">
        <v>39</v>
      </c>
      <c r="F151" s="46">
        <v>53.68</v>
      </c>
      <c r="G151" s="47" t="s">
        <v>71</v>
      </c>
      <c r="H151" s="38">
        <v>0.3</v>
      </c>
    </row>
    <row r="152" spans="2:8" x14ac:dyDescent="0.2">
      <c r="B152" s="40" t="s">
        <v>372</v>
      </c>
      <c r="C152" s="40" t="s">
        <v>373</v>
      </c>
      <c r="D152" s="40" t="s">
        <v>351</v>
      </c>
      <c r="E152" s="41" t="s">
        <v>39</v>
      </c>
      <c r="F152" s="42">
        <v>51.42</v>
      </c>
      <c r="G152" s="43" t="s">
        <v>71</v>
      </c>
      <c r="H152" s="36">
        <v>0.3</v>
      </c>
    </row>
    <row r="153" spans="2:8" x14ac:dyDescent="0.2">
      <c r="B153" s="44" t="s">
        <v>374</v>
      </c>
      <c r="C153" s="44" t="s">
        <v>375</v>
      </c>
      <c r="D153" s="44" t="s">
        <v>351</v>
      </c>
      <c r="E153" s="45" t="s">
        <v>30</v>
      </c>
      <c r="F153" s="46">
        <v>54.23</v>
      </c>
      <c r="G153" s="47" t="s">
        <v>71</v>
      </c>
      <c r="H153" s="38">
        <v>0.3</v>
      </c>
    </row>
    <row r="154" spans="2:8" x14ac:dyDescent="0.2">
      <c r="B154" s="40" t="s">
        <v>376</v>
      </c>
      <c r="C154" s="40" t="s">
        <v>377</v>
      </c>
      <c r="D154" s="40" t="s">
        <v>351</v>
      </c>
      <c r="E154" s="41" t="s">
        <v>36</v>
      </c>
      <c r="F154" s="42">
        <v>71.900000000000006</v>
      </c>
      <c r="G154" s="43" t="s">
        <v>71</v>
      </c>
      <c r="H154" s="36">
        <v>0.3</v>
      </c>
    </row>
    <row r="155" spans="2:8" x14ac:dyDescent="0.2">
      <c r="B155" s="44" t="s">
        <v>378</v>
      </c>
      <c r="C155" s="44" t="s">
        <v>379</v>
      </c>
      <c r="D155" s="44" t="s">
        <v>351</v>
      </c>
      <c r="E155" s="45" t="s">
        <v>36</v>
      </c>
      <c r="F155" s="46">
        <v>70.3</v>
      </c>
      <c r="G155" s="47" t="s">
        <v>71</v>
      </c>
      <c r="H155" s="38">
        <v>0.3</v>
      </c>
    </row>
    <row r="156" spans="2:8" x14ac:dyDescent="0.2">
      <c r="B156" s="40" t="s">
        <v>380</v>
      </c>
      <c r="C156" s="40" t="s">
        <v>381</v>
      </c>
      <c r="D156" s="40" t="s">
        <v>351</v>
      </c>
      <c r="E156" s="41" t="s">
        <v>36</v>
      </c>
      <c r="F156" s="42">
        <v>93.14</v>
      </c>
      <c r="G156" s="43" t="s">
        <v>71</v>
      </c>
      <c r="H156" s="36">
        <v>0.3</v>
      </c>
    </row>
    <row r="157" spans="2:8" x14ac:dyDescent="0.2">
      <c r="B157" s="44" t="s">
        <v>382</v>
      </c>
      <c r="C157" s="44" t="s">
        <v>383</v>
      </c>
      <c r="D157" s="44" t="s">
        <v>351</v>
      </c>
      <c r="E157" s="45" t="s">
        <v>23</v>
      </c>
      <c r="F157" s="46">
        <v>45.25</v>
      </c>
      <c r="G157" s="47" t="s">
        <v>71</v>
      </c>
      <c r="H157" s="38">
        <v>0.3</v>
      </c>
    </row>
    <row r="158" spans="2:8" x14ac:dyDescent="0.2">
      <c r="B158" s="40" t="s">
        <v>384</v>
      </c>
      <c r="C158" s="40" t="s">
        <v>385</v>
      </c>
      <c r="D158" s="40" t="s">
        <v>351</v>
      </c>
      <c r="E158" s="41" t="s">
        <v>30</v>
      </c>
      <c r="F158" s="42">
        <v>25.21</v>
      </c>
      <c r="G158" s="43" t="s">
        <v>71</v>
      </c>
      <c r="H158" s="36">
        <v>0.3</v>
      </c>
    </row>
    <row r="159" spans="2:8" x14ac:dyDescent="0.2">
      <c r="B159" s="44" t="s">
        <v>386</v>
      </c>
      <c r="C159" s="44" t="s">
        <v>387</v>
      </c>
      <c r="D159" s="44" t="s">
        <v>351</v>
      </c>
      <c r="E159" s="45" t="s">
        <v>35</v>
      </c>
      <c r="F159" s="46">
        <v>34.700000000000003</v>
      </c>
      <c r="G159" s="47" t="s">
        <v>71</v>
      </c>
      <c r="H159" s="38">
        <v>0.3</v>
      </c>
    </row>
    <row r="160" spans="2:8" x14ac:dyDescent="0.2">
      <c r="B160" s="40" t="s">
        <v>388</v>
      </c>
      <c r="C160" s="40" t="s">
        <v>389</v>
      </c>
      <c r="D160" s="40" t="s">
        <v>351</v>
      </c>
      <c r="E160" s="41" t="s">
        <v>38</v>
      </c>
      <c r="F160" s="42">
        <v>38.06</v>
      </c>
      <c r="G160" s="43" t="s">
        <v>71</v>
      </c>
      <c r="H160" s="36">
        <v>0.3</v>
      </c>
    </row>
    <row r="161" spans="2:8" x14ac:dyDescent="0.2">
      <c r="B161" s="44" t="s">
        <v>390</v>
      </c>
      <c r="C161" s="44" t="s">
        <v>391</v>
      </c>
      <c r="D161" s="44" t="s">
        <v>351</v>
      </c>
      <c r="E161" s="45" t="s">
        <v>38</v>
      </c>
      <c r="F161" s="46">
        <v>35.06</v>
      </c>
      <c r="G161" s="47" t="s">
        <v>71</v>
      </c>
      <c r="H161" s="38">
        <v>0.3</v>
      </c>
    </row>
    <row r="162" spans="2:8" x14ac:dyDescent="0.2">
      <c r="B162" s="40" t="s">
        <v>392</v>
      </c>
      <c r="C162" s="40" t="s">
        <v>393</v>
      </c>
      <c r="D162" s="40" t="s">
        <v>351</v>
      </c>
      <c r="E162" s="41" t="s">
        <v>28</v>
      </c>
      <c r="F162" s="42">
        <v>24.3</v>
      </c>
      <c r="G162" s="43" t="s">
        <v>71</v>
      </c>
      <c r="H162" s="36">
        <v>0.3</v>
      </c>
    </row>
    <row r="163" spans="2:8" x14ac:dyDescent="0.2">
      <c r="B163" s="44" t="s">
        <v>394</v>
      </c>
      <c r="C163" s="44" t="s">
        <v>395</v>
      </c>
      <c r="D163" s="44" t="s">
        <v>351</v>
      </c>
      <c r="E163" s="45" t="s">
        <v>28</v>
      </c>
      <c r="F163" s="46">
        <v>30.64</v>
      </c>
      <c r="G163" s="47" t="s">
        <v>71</v>
      </c>
      <c r="H163" s="38">
        <v>0.3</v>
      </c>
    </row>
    <row r="164" spans="2:8" x14ac:dyDescent="0.2">
      <c r="B164" s="40" t="s">
        <v>396</v>
      </c>
      <c r="C164" s="40" t="s">
        <v>397</v>
      </c>
      <c r="D164" s="40" t="s">
        <v>351</v>
      </c>
      <c r="E164" s="41" t="s">
        <v>38</v>
      </c>
      <c r="F164" s="42">
        <v>38.99</v>
      </c>
      <c r="G164" s="43" t="s">
        <v>71</v>
      </c>
      <c r="H164" s="36">
        <v>0.3</v>
      </c>
    </row>
    <row r="165" spans="2:8" x14ac:dyDescent="0.2">
      <c r="B165" s="44" t="s">
        <v>398</v>
      </c>
      <c r="C165" s="44" t="s">
        <v>399</v>
      </c>
      <c r="D165" s="44" t="s">
        <v>351</v>
      </c>
      <c r="E165" s="45" t="s">
        <v>37</v>
      </c>
      <c r="F165" s="46">
        <v>50.84</v>
      </c>
      <c r="G165" s="47" t="s">
        <v>71</v>
      </c>
      <c r="H165" s="38">
        <v>0.3</v>
      </c>
    </row>
    <row r="166" spans="2:8" x14ac:dyDescent="0.2">
      <c r="B166" s="40" t="s">
        <v>400</v>
      </c>
      <c r="C166" s="40" t="s">
        <v>401</v>
      </c>
      <c r="D166" s="40" t="s">
        <v>351</v>
      </c>
      <c r="E166" s="41" t="s">
        <v>38</v>
      </c>
      <c r="F166" s="42">
        <v>47.66</v>
      </c>
      <c r="G166" s="43" t="s">
        <v>71</v>
      </c>
      <c r="H166" s="36">
        <v>0.3</v>
      </c>
    </row>
    <row r="167" spans="2:8" x14ac:dyDescent="0.2">
      <c r="B167" s="44" t="s">
        <v>402</v>
      </c>
      <c r="C167" s="44" t="s">
        <v>403</v>
      </c>
      <c r="D167" s="44" t="s">
        <v>351</v>
      </c>
      <c r="E167" s="45" t="s">
        <v>30</v>
      </c>
      <c r="F167" s="46">
        <v>40.68</v>
      </c>
      <c r="G167" s="47" t="s">
        <v>71</v>
      </c>
      <c r="H167" s="38">
        <v>0.3</v>
      </c>
    </row>
    <row r="168" spans="2:8" x14ac:dyDescent="0.2">
      <c r="B168" s="40" t="s">
        <v>404</v>
      </c>
      <c r="C168" s="40" t="s">
        <v>405</v>
      </c>
      <c r="D168" s="40" t="s">
        <v>351</v>
      </c>
      <c r="E168" s="41" t="s">
        <v>30</v>
      </c>
      <c r="F168" s="42">
        <v>30.6</v>
      </c>
      <c r="G168" s="43" t="s">
        <v>71</v>
      </c>
      <c r="H168" s="36">
        <v>0.3</v>
      </c>
    </row>
    <row r="169" spans="2:8" x14ac:dyDescent="0.2">
      <c r="B169" s="44" t="s">
        <v>406</v>
      </c>
      <c r="C169" s="44" t="s">
        <v>407</v>
      </c>
      <c r="D169" s="44" t="s">
        <v>351</v>
      </c>
      <c r="E169" s="45" t="s">
        <v>30</v>
      </c>
      <c r="F169" s="46">
        <v>24.71</v>
      </c>
      <c r="G169" s="47" t="s">
        <v>71</v>
      </c>
      <c r="H169" s="38">
        <v>0.3</v>
      </c>
    </row>
    <row r="170" spans="2:8" x14ac:dyDescent="0.2">
      <c r="B170" s="40" t="s">
        <v>408</v>
      </c>
      <c r="C170" s="40" t="s">
        <v>409</v>
      </c>
      <c r="D170" s="40" t="s">
        <v>351</v>
      </c>
      <c r="E170" s="41" t="s">
        <v>30</v>
      </c>
      <c r="F170" s="42">
        <v>17.899999999999999</v>
      </c>
      <c r="G170" s="43" t="s">
        <v>71</v>
      </c>
      <c r="H170" s="36">
        <v>0.3</v>
      </c>
    </row>
    <row r="171" spans="2:8" x14ac:dyDescent="0.2">
      <c r="B171" s="44" t="s">
        <v>410</v>
      </c>
      <c r="C171" s="44" t="s">
        <v>411</v>
      </c>
      <c r="D171" s="44" t="s">
        <v>351</v>
      </c>
      <c r="E171" s="45" t="s">
        <v>30</v>
      </c>
      <c r="F171" s="46">
        <v>27.35</v>
      </c>
      <c r="G171" s="47" t="s">
        <v>71</v>
      </c>
      <c r="H171" s="38">
        <v>0.3</v>
      </c>
    </row>
    <row r="172" spans="2:8" x14ac:dyDescent="0.2">
      <c r="B172" s="40" t="s">
        <v>412</v>
      </c>
      <c r="C172" s="40" t="s">
        <v>413</v>
      </c>
      <c r="D172" s="40" t="s">
        <v>351</v>
      </c>
      <c r="E172" s="41" t="s">
        <v>38</v>
      </c>
      <c r="F172" s="42">
        <v>19.71</v>
      </c>
      <c r="G172" s="43" t="s">
        <v>71</v>
      </c>
      <c r="H172" s="36">
        <v>0.3</v>
      </c>
    </row>
    <row r="173" spans="2:8" x14ac:dyDescent="0.2">
      <c r="B173" s="44" t="s">
        <v>414</v>
      </c>
      <c r="C173" s="44" t="s">
        <v>415</v>
      </c>
      <c r="D173" s="44" t="s">
        <v>351</v>
      </c>
      <c r="E173" s="45" t="s">
        <v>38</v>
      </c>
      <c r="F173" s="46">
        <v>27.59</v>
      </c>
      <c r="G173" s="47" t="s">
        <v>71</v>
      </c>
      <c r="H173" s="38">
        <v>0.3</v>
      </c>
    </row>
    <row r="174" spans="2:8" x14ac:dyDescent="0.2">
      <c r="B174" s="40" t="s">
        <v>416</v>
      </c>
      <c r="C174" s="40" t="s">
        <v>417</v>
      </c>
      <c r="D174" s="40" t="s">
        <v>351</v>
      </c>
      <c r="E174" s="41" t="s">
        <v>38</v>
      </c>
      <c r="F174" s="42">
        <v>25.48</v>
      </c>
      <c r="G174" s="43" t="s">
        <v>71</v>
      </c>
      <c r="H174" s="36">
        <v>0.3</v>
      </c>
    </row>
    <row r="175" spans="2:8" x14ac:dyDescent="0.2">
      <c r="B175" s="44" t="s">
        <v>418</v>
      </c>
      <c r="C175" s="44" t="s">
        <v>419</v>
      </c>
      <c r="D175" s="44" t="s">
        <v>351</v>
      </c>
      <c r="E175" s="45" t="s">
        <v>38</v>
      </c>
      <c r="F175" s="46">
        <v>20.57</v>
      </c>
      <c r="G175" s="47" t="s">
        <v>71</v>
      </c>
      <c r="H175" s="38">
        <v>0.3</v>
      </c>
    </row>
    <row r="176" spans="2:8" x14ac:dyDescent="0.2">
      <c r="B176" s="40" t="s">
        <v>420</v>
      </c>
      <c r="C176" s="40" t="s">
        <v>421</v>
      </c>
      <c r="D176" s="40" t="s">
        <v>351</v>
      </c>
      <c r="E176" s="41" t="s">
        <v>28</v>
      </c>
      <c r="F176" s="42">
        <v>33.67</v>
      </c>
      <c r="G176" s="43" t="s">
        <v>71</v>
      </c>
      <c r="H176" s="36">
        <v>0.3</v>
      </c>
    </row>
    <row r="177" spans="2:8" x14ac:dyDescent="0.2">
      <c r="B177" s="44" t="s">
        <v>422</v>
      </c>
      <c r="C177" s="44" t="s">
        <v>423</v>
      </c>
      <c r="D177" s="44" t="s">
        <v>351</v>
      </c>
      <c r="E177" s="45" t="s">
        <v>38</v>
      </c>
      <c r="F177" s="46">
        <v>31.85</v>
      </c>
      <c r="G177" s="47" t="s">
        <v>71</v>
      </c>
      <c r="H177" s="38">
        <v>0.3</v>
      </c>
    </row>
    <row r="178" spans="2:8" x14ac:dyDescent="0.2">
      <c r="B178" s="40" t="s">
        <v>424</v>
      </c>
      <c r="C178" s="40" t="s">
        <v>425</v>
      </c>
      <c r="D178" s="40" t="s">
        <v>351</v>
      </c>
      <c r="E178" s="41" t="s">
        <v>38</v>
      </c>
      <c r="F178" s="42">
        <v>28.07</v>
      </c>
      <c r="G178" s="43" t="s">
        <v>71</v>
      </c>
      <c r="H178" s="36">
        <v>0.3</v>
      </c>
    </row>
    <row r="179" spans="2:8" x14ac:dyDescent="0.2">
      <c r="B179" s="44" t="s">
        <v>426</v>
      </c>
      <c r="C179" s="44" t="s">
        <v>427</v>
      </c>
      <c r="D179" s="44" t="s">
        <v>351</v>
      </c>
      <c r="E179" s="45" t="s">
        <v>29</v>
      </c>
      <c r="F179" s="46">
        <v>40.67</v>
      </c>
      <c r="G179" s="47" t="s">
        <v>71</v>
      </c>
      <c r="H179" s="38">
        <v>0.3</v>
      </c>
    </row>
    <row r="180" spans="2:8" x14ac:dyDescent="0.2">
      <c r="B180" s="40" t="s">
        <v>428</v>
      </c>
      <c r="C180" s="40" t="s">
        <v>429</v>
      </c>
      <c r="D180" s="40" t="s">
        <v>351</v>
      </c>
      <c r="E180" s="41" t="s">
        <v>38</v>
      </c>
      <c r="F180" s="42">
        <v>18.78</v>
      </c>
      <c r="G180" s="43" t="s">
        <v>71</v>
      </c>
      <c r="H180" s="36">
        <v>0.3</v>
      </c>
    </row>
    <row r="181" spans="2:8" x14ac:dyDescent="0.2">
      <c r="B181" s="44" t="s">
        <v>430</v>
      </c>
      <c r="C181" s="44" t="s">
        <v>431</v>
      </c>
      <c r="D181" s="44" t="s">
        <v>351</v>
      </c>
      <c r="E181" s="45" t="s">
        <v>22</v>
      </c>
      <c r="F181" s="46">
        <v>37.17</v>
      </c>
      <c r="G181" s="47" t="s">
        <v>71</v>
      </c>
      <c r="H181" s="38">
        <v>0.3</v>
      </c>
    </row>
    <row r="182" spans="2:8" x14ac:dyDescent="0.2">
      <c r="B182" s="40" t="s">
        <v>432</v>
      </c>
      <c r="C182" s="40" t="s">
        <v>433</v>
      </c>
      <c r="D182" s="40" t="s">
        <v>351</v>
      </c>
      <c r="E182" s="41" t="s">
        <v>38</v>
      </c>
      <c r="F182" s="42">
        <v>26.24</v>
      </c>
      <c r="G182" s="43" t="s">
        <v>71</v>
      </c>
      <c r="H182" s="36">
        <v>0.3</v>
      </c>
    </row>
    <row r="183" spans="2:8" x14ac:dyDescent="0.2">
      <c r="B183" s="44" t="s">
        <v>434</v>
      </c>
      <c r="C183" s="44" t="s">
        <v>435</v>
      </c>
      <c r="D183" s="44" t="s">
        <v>351</v>
      </c>
      <c r="E183" s="45" t="s">
        <v>38</v>
      </c>
      <c r="F183" s="46">
        <v>24.67</v>
      </c>
      <c r="G183" s="47" t="s">
        <v>71</v>
      </c>
      <c r="H183" s="38">
        <v>0.3</v>
      </c>
    </row>
    <row r="184" spans="2:8" x14ac:dyDescent="0.2">
      <c r="B184" s="40" t="s">
        <v>436</v>
      </c>
      <c r="C184" s="40" t="s">
        <v>437</v>
      </c>
      <c r="D184" s="40" t="s">
        <v>351</v>
      </c>
      <c r="E184" s="41" t="s">
        <v>38</v>
      </c>
      <c r="F184" s="42">
        <v>40.75</v>
      </c>
      <c r="G184" s="43" t="s">
        <v>71</v>
      </c>
      <c r="H184" s="36">
        <v>0.3</v>
      </c>
    </row>
    <row r="185" spans="2:8" x14ac:dyDescent="0.2">
      <c r="B185" s="44" t="s">
        <v>438</v>
      </c>
      <c r="C185" s="44" t="s">
        <v>439</v>
      </c>
      <c r="D185" s="44" t="s">
        <v>351</v>
      </c>
      <c r="E185" s="45" t="s">
        <v>38</v>
      </c>
      <c r="F185" s="46">
        <v>26.73</v>
      </c>
      <c r="G185" s="47" t="s">
        <v>71</v>
      </c>
      <c r="H185" s="38">
        <v>0.3</v>
      </c>
    </row>
    <row r="186" spans="2:8" x14ac:dyDescent="0.2">
      <c r="B186" s="40" t="s">
        <v>440</v>
      </c>
      <c r="C186" s="40" t="s">
        <v>441</v>
      </c>
      <c r="D186" s="40" t="s">
        <v>351</v>
      </c>
      <c r="E186" s="41" t="s">
        <v>38</v>
      </c>
      <c r="F186" s="42">
        <v>35.840000000000003</v>
      </c>
      <c r="G186" s="43" t="s">
        <v>71</v>
      </c>
      <c r="H186" s="36">
        <v>0.3</v>
      </c>
    </row>
    <row r="187" spans="2:8" x14ac:dyDescent="0.2">
      <c r="B187" s="44" t="s">
        <v>442</v>
      </c>
      <c r="C187" s="44" t="s">
        <v>443</v>
      </c>
      <c r="D187" s="44" t="s">
        <v>351</v>
      </c>
      <c r="E187" s="45" t="s">
        <v>31</v>
      </c>
      <c r="F187" s="46">
        <v>37.18</v>
      </c>
      <c r="G187" s="47" t="s">
        <v>71</v>
      </c>
      <c r="H187" s="38">
        <v>0.3</v>
      </c>
    </row>
    <row r="188" spans="2:8" x14ac:dyDescent="0.2">
      <c r="B188" s="40" t="s">
        <v>444</v>
      </c>
      <c r="C188" s="40" t="s">
        <v>445</v>
      </c>
      <c r="D188" s="40" t="s">
        <v>351</v>
      </c>
      <c r="E188" s="41" t="s">
        <v>38</v>
      </c>
      <c r="F188" s="42">
        <v>25.22</v>
      </c>
      <c r="G188" s="43" t="s">
        <v>71</v>
      </c>
      <c r="H188" s="36">
        <v>0.3</v>
      </c>
    </row>
    <row r="189" spans="2:8" x14ac:dyDescent="0.2">
      <c r="B189" s="44" t="s">
        <v>446</v>
      </c>
      <c r="C189" s="44" t="s">
        <v>447</v>
      </c>
      <c r="D189" s="44" t="s">
        <v>351</v>
      </c>
      <c r="E189" s="45" t="s">
        <v>38</v>
      </c>
      <c r="F189" s="46">
        <v>24.71</v>
      </c>
      <c r="G189" s="47" t="s">
        <v>71</v>
      </c>
      <c r="H189" s="38">
        <v>0.3</v>
      </c>
    </row>
    <row r="190" spans="2:8" x14ac:dyDescent="0.2">
      <c r="B190" s="40" t="s">
        <v>448</v>
      </c>
      <c r="C190" s="40" t="s">
        <v>449</v>
      </c>
      <c r="D190" s="40" t="s">
        <v>351</v>
      </c>
      <c r="E190" s="41" t="s">
        <v>38</v>
      </c>
      <c r="F190" s="42">
        <v>30.89</v>
      </c>
      <c r="G190" s="43" t="s">
        <v>71</v>
      </c>
      <c r="H190" s="36">
        <v>0.3</v>
      </c>
    </row>
    <row r="191" spans="2:8" x14ac:dyDescent="0.2">
      <c r="B191" s="44" t="s">
        <v>450</v>
      </c>
      <c r="C191" s="44" t="s">
        <v>451</v>
      </c>
      <c r="D191" s="44" t="s">
        <v>351</v>
      </c>
      <c r="E191" s="45" t="s">
        <v>34</v>
      </c>
      <c r="F191" s="46">
        <v>41.48</v>
      </c>
      <c r="G191" s="47" t="s">
        <v>71</v>
      </c>
      <c r="H191" s="38">
        <v>0.3</v>
      </c>
    </row>
    <row r="192" spans="2:8" x14ac:dyDescent="0.2">
      <c r="B192" s="40" t="s">
        <v>452</v>
      </c>
      <c r="C192" s="40" t="s">
        <v>453</v>
      </c>
      <c r="D192" s="40" t="s">
        <v>351</v>
      </c>
      <c r="E192" s="41" t="s">
        <v>34</v>
      </c>
      <c r="F192" s="42">
        <v>45.04</v>
      </c>
      <c r="G192" s="43" t="s">
        <v>71</v>
      </c>
      <c r="H192" s="36">
        <v>0.3</v>
      </c>
    </row>
    <row r="193" spans="2:8" x14ac:dyDescent="0.2">
      <c r="B193" s="44" t="s">
        <v>454</v>
      </c>
      <c r="C193" s="44" t="s">
        <v>455</v>
      </c>
      <c r="D193" s="44" t="s">
        <v>351</v>
      </c>
      <c r="E193" s="45" t="s">
        <v>38</v>
      </c>
      <c r="F193" s="46">
        <v>30.49</v>
      </c>
      <c r="G193" s="47" t="s">
        <v>71</v>
      </c>
      <c r="H193" s="38">
        <v>0.3</v>
      </c>
    </row>
    <row r="194" spans="2:8" x14ac:dyDescent="0.2">
      <c r="B194" s="40" t="s">
        <v>456</v>
      </c>
      <c r="C194" s="40" t="s">
        <v>457</v>
      </c>
      <c r="D194" s="40" t="s">
        <v>351</v>
      </c>
      <c r="E194" s="41" t="s">
        <v>38</v>
      </c>
      <c r="F194" s="42">
        <v>30.22</v>
      </c>
      <c r="G194" s="43" t="s">
        <v>71</v>
      </c>
      <c r="H194" s="36">
        <v>0.3</v>
      </c>
    </row>
    <row r="195" spans="2:8" x14ac:dyDescent="0.2">
      <c r="B195" s="44" t="s">
        <v>458</v>
      </c>
      <c r="C195" s="44" t="s">
        <v>459</v>
      </c>
      <c r="D195" s="44" t="s">
        <v>351</v>
      </c>
      <c r="E195" s="45" t="s">
        <v>38</v>
      </c>
      <c r="F195" s="46">
        <v>30.79</v>
      </c>
      <c r="G195" s="47" t="s">
        <v>71</v>
      </c>
      <c r="H195" s="38">
        <v>0.3</v>
      </c>
    </row>
    <row r="196" spans="2:8" x14ac:dyDescent="0.2">
      <c r="B196" s="40" t="s">
        <v>460</v>
      </c>
      <c r="C196" s="40" t="s">
        <v>461</v>
      </c>
      <c r="D196" s="40" t="s">
        <v>351</v>
      </c>
      <c r="E196" s="41" t="s">
        <v>38</v>
      </c>
      <c r="F196" s="42">
        <v>41.5</v>
      </c>
      <c r="G196" s="43" t="s">
        <v>71</v>
      </c>
      <c r="H196" s="36">
        <v>0.3</v>
      </c>
    </row>
    <row r="197" spans="2:8" x14ac:dyDescent="0.2">
      <c r="B197" s="44" t="s">
        <v>462</v>
      </c>
      <c r="C197" s="44" t="s">
        <v>463</v>
      </c>
      <c r="D197" s="44" t="s">
        <v>351</v>
      </c>
      <c r="E197" s="45" t="s">
        <v>38</v>
      </c>
      <c r="F197" s="46">
        <v>31.23</v>
      </c>
      <c r="G197" s="47" t="s">
        <v>71</v>
      </c>
      <c r="H197" s="38">
        <v>0.3</v>
      </c>
    </row>
    <row r="198" spans="2:8" x14ac:dyDescent="0.2">
      <c r="B198" s="40" t="s">
        <v>464</v>
      </c>
      <c r="C198" s="40" t="s">
        <v>465</v>
      </c>
      <c r="D198" s="40" t="s">
        <v>351</v>
      </c>
      <c r="E198" s="41" t="s">
        <v>32</v>
      </c>
      <c r="F198" s="42">
        <v>33.32</v>
      </c>
      <c r="G198" s="43" t="s">
        <v>71</v>
      </c>
      <c r="H198" s="36">
        <v>0.3</v>
      </c>
    </row>
    <row r="199" spans="2:8" x14ac:dyDescent="0.2">
      <c r="B199" s="44" t="s">
        <v>466</v>
      </c>
      <c r="C199" s="44" t="s">
        <v>467</v>
      </c>
      <c r="D199" s="44" t="s">
        <v>351</v>
      </c>
      <c r="E199" s="45" t="s">
        <v>30</v>
      </c>
      <c r="F199" s="46">
        <v>42.34</v>
      </c>
      <c r="G199" s="47" t="s">
        <v>71</v>
      </c>
      <c r="H199" s="38">
        <v>0.3</v>
      </c>
    </row>
    <row r="200" spans="2:8" x14ac:dyDescent="0.2">
      <c r="B200" s="40" t="s">
        <v>468</v>
      </c>
      <c r="C200" s="40" t="s">
        <v>469</v>
      </c>
      <c r="D200" s="40" t="s">
        <v>351</v>
      </c>
      <c r="E200" s="41" t="s">
        <v>30</v>
      </c>
      <c r="F200" s="42">
        <v>36.6</v>
      </c>
      <c r="G200" s="43" t="s">
        <v>71</v>
      </c>
      <c r="H200" s="36">
        <v>0.3</v>
      </c>
    </row>
    <row r="201" spans="2:8" x14ac:dyDescent="0.2">
      <c r="B201" s="44" t="s">
        <v>470</v>
      </c>
      <c r="C201" s="44" t="s">
        <v>471</v>
      </c>
      <c r="D201" s="44" t="s">
        <v>472</v>
      </c>
      <c r="E201" s="45" t="s">
        <v>38</v>
      </c>
      <c r="F201" s="46">
        <v>26.51</v>
      </c>
      <c r="G201" s="47" t="s">
        <v>71</v>
      </c>
      <c r="H201" s="38">
        <v>0.32</v>
      </c>
    </row>
    <row r="202" spans="2:8" x14ac:dyDescent="0.2">
      <c r="B202" s="40" t="s">
        <v>473</v>
      </c>
      <c r="C202" s="40" t="s">
        <v>474</v>
      </c>
      <c r="D202" s="40" t="s">
        <v>472</v>
      </c>
      <c r="E202" s="41" t="s">
        <v>38</v>
      </c>
      <c r="F202" s="42">
        <v>37.99</v>
      </c>
      <c r="G202" s="43" t="s">
        <v>71</v>
      </c>
      <c r="H202" s="36">
        <v>0.32</v>
      </c>
    </row>
    <row r="203" spans="2:8" x14ac:dyDescent="0.2">
      <c r="B203" s="44" t="s">
        <v>475</v>
      </c>
      <c r="C203" s="44" t="s">
        <v>476</v>
      </c>
      <c r="D203" s="44" t="s">
        <v>472</v>
      </c>
      <c r="E203" s="45" t="s">
        <v>38</v>
      </c>
      <c r="F203" s="46">
        <v>34.36</v>
      </c>
      <c r="G203" s="47" t="s">
        <v>71</v>
      </c>
      <c r="H203" s="38">
        <v>0.32</v>
      </c>
    </row>
    <row r="204" spans="2:8" x14ac:dyDescent="0.2">
      <c r="B204" s="40" t="s">
        <v>477</v>
      </c>
      <c r="C204" s="40" t="s">
        <v>478</v>
      </c>
      <c r="D204" s="40" t="s">
        <v>472</v>
      </c>
      <c r="E204" s="41" t="s">
        <v>38</v>
      </c>
      <c r="F204" s="42">
        <v>37.69</v>
      </c>
      <c r="G204" s="43" t="s">
        <v>71</v>
      </c>
      <c r="H204" s="36">
        <v>0.32</v>
      </c>
    </row>
    <row r="205" spans="2:8" x14ac:dyDescent="0.2">
      <c r="B205" s="44" t="s">
        <v>479</v>
      </c>
      <c r="C205" s="44" t="s">
        <v>480</v>
      </c>
      <c r="D205" s="44" t="s">
        <v>472</v>
      </c>
      <c r="E205" s="45" t="s">
        <v>21</v>
      </c>
      <c r="F205" s="46">
        <v>33.26</v>
      </c>
      <c r="G205" s="47" t="s">
        <v>71</v>
      </c>
      <c r="H205" s="38">
        <v>0.32</v>
      </c>
    </row>
    <row r="206" spans="2:8" x14ac:dyDescent="0.2">
      <c r="B206" s="40" t="s">
        <v>481</v>
      </c>
      <c r="C206" s="40" t="s">
        <v>482</v>
      </c>
      <c r="D206" s="40" t="s">
        <v>472</v>
      </c>
      <c r="E206" s="41" t="s">
        <v>21</v>
      </c>
      <c r="F206" s="42">
        <v>32.49</v>
      </c>
      <c r="G206" s="43" t="s">
        <v>71</v>
      </c>
      <c r="H206" s="36">
        <v>0.32</v>
      </c>
    </row>
    <row r="207" spans="2:8" x14ac:dyDescent="0.2">
      <c r="B207" s="44" t="s">
        <v>483</v>
      </c>
      <c r="C207" s="44" t="s">
        <v>484</v>
      </c>
      <c r="D207" s="44" t="s">
        <v>472</v>
      </c>
      <c r="E207" s="45" t="s">
        <v>38</v>
      </c>
      <c r="F207" s="46">
        <v>30</v>
      </c>
      <c r="G207" s="47" t="s">
        <v>71</v>
      </c>
      <c r="H207" s="38">
        <v>0.32</v>
      </c>
    </row>
    <row r="208" spans="2:8" x14ac:dyDescent="0.2">
      <c r="B208" s="40" t="s">
        <v>485</v>
      </c>
      <c r="C208" s="40" t="s">
        <v>486</v>
      </c>
      <c r="D208" s="40" t="s">
        <v>472</v>
      </c>
      <c r="E208" s="41" t="s">
        <v>38</v>
      </c>
      <c r="F208" s="42">
        <v>35.83</v>
      </c>
      <c r="G208" s="43" t="s">
        <v>71</v>
      </c>
      <c r="H208" s="36">
        <v>0.32</v>
      </c>
    </row>
    <row r="209" spans="2:8" x14ac:dyDescent="0.2">
      <c r="B209" s="44" t="s">
        <v>487</v>
      </c>
      <c r="C209" s="44" t="s">
        <v>488</v>
      </c>
      <c r="D209" s="44" t="s">
        <v>472</v>
      </c>
      <c r="E209" s="45" t="s">
        <v>38</v>
      </c>
      <c r="F209" s="46">
        <v>52.27</v>
      </c>
      <c r="G209" s="47" t="s">
        <v>71</v>
      </c>
      <c r="H209" s="38">
        <v>0.32</v>
      </c>
    </row>
    <row r="210" spans="2:8" x14ac:dyDescent="0.2">
      <c r="B210" s="40" t="s">
        <v>489</v>
      </c>
      <c r="C210" s="40" t="s">
        <v>490</v>
      </c>
      <c r="D210" s="40" t="s">
        <v>472</v>
      </c>
      <c r="E210" s="41" t="s">
        <v>38</v>
      </c>
      <c r="F210" s="42">
        <v>66.02</v>
      </c>
      <c r="G210" s="43" t="s">
        <v>71</v>
      </c>
      <c r="H210" s="36">
        <v>0.32</v>
      </c>
    </row>
    <row r="211" spans="2:8" x14ac:dyDescent="0.2">
      <c r="B211" s="44" t="s">
        <v>491</v>
      </c>
      <c r="C211" s="44" t="s">
        <v>492</v>
      </c>
      <c r="D211" s="44" t="s">
        <v>493</v>
      </c>
      <c r="E211" s="45" t="s">
        <v>22</v>
      </c>
      <c r="F211" s="46">
        <v>69.41</v>
      </c>
      <c r="G211" s="47" t="s">
        <v>71</v>
      </c>
      <c r="H211" s="38">
        <v>0.4</v>
      </c>
    </row>
    <row r="212" spans="2:8" x14ac:dyDescent="0.2">
      <c r="B212" s="40" t="s">
        <v>494</v>
      </c>
      <c r="C212" s="40" t="s">
        <v>495</v>
      </c>
      <c r="D212" s="40" t="s">
        <v>493</v>
      </c>
      <c r="E212" s="41" t="s">
        <v>22</v>
      </c>
      <c r="F212" s="42">
        <v>51.44</v>
      </c>
      <c r="G212" s="43" t="s">
        <v>71</v>
      </c>
      <c r="H212" s="36">
        <v>0.4</v>
      </c>
    </row>
    <row r="213" spans="2:8" x14ac:dyDescent="0.2">
      <c r="B213" s="44" t="s">
        <v>496</v>
      </c>
      <c r="C213" s="44" t="s">
        <v>497</v>
      </c>
      <c r="D213" s="44" t="s">
        <v>493</v>
      </c>
      <c r="E213" s="45" t="s">
        <v>22</v>
      </c>
      <c r="F213" s="46">
        <v>69.739999999999995</v>
      </c>
      <c r="G213" s="47" t="s">
        <v>71</v>
      </c>
      <c r="H213" s="38">
        <v>0.4</v>
      </c>
    </row>
    <row r="214" spans="2:8" x14ac:dyDescent="0.2">
      <c r="B214" s="40" t="s">
        <v>498</v>
      </c>
      <c r="C214" s="40" t="s">
        <v>499</v>
      </c>
      <c r="D214" s="40" t="s">
        <v>493</v>
      </c>
      <c r="E214" s="41" t="s">
        <v>22</v>
      </c>
      <c r="F214" s="42">
        <v>39.71</v>
      </c>
      <c r="G214" s="43" t="s">
        <v>71</v>
      </c>
      <c r="H214" s="36">
        <v>0.4</v>
      </c>
    </row>
    <row r="215" spans="2:8" x14ac:dyDescent="0.2">
      <c r="B215" s="44" t="s">
        <v>500</v>
      </c>
      <c r="C215" s="44" t="s">
        <v>501</v>
      </c>
      <c r="D215" s="44" t="s">
        <v>493</v>
      </c>
      <c r="E215" s="45" t="s">
        <v>22</v>
      </c>
      <c r="F215" s="46">
        <v>41.41</v>
      </c>
      <c r="G215" s="47" t="s">
        <v>71</v>
      </c>
      <c r="H215" s="38">
        <v>0.4</v>
      </c>
    </row>
    <row r="216" spans="2:8" x14ac:dyDescent="0.2">
      <c r="B216" s="40" t="s">
        <v>502</v>
      </c>
      <c r="C216" s="40" t="s">
        <v>503</v>
      </c>
      <c r="D216" s="40" t="s">
        <v>493</v>
      </c>
      <c r="E216" s="41" t="s">
        <v>22</v>
      </c>
      <c r="F216" s="42">
        <v>32.549999999999997</v>
      </c>
      <c r="G216" s="43" t="s">
        <v>71</v>
      </c>
      <c r="H216" s="36">
        <v>0.4</v>
      </c>
    </row>
    <row r="217" spans="2:8" x14ac:dyDescent="0.2">
      <c r="B217" s="44" t="s">
        <v>504</v>
      </c>
      <c r="C217" s="44" t="s">
        <v>505</v>
      </c>
      <c r="D217" s="44" t="s">
        <v>493</v>
      </c>
      <c r="E217" s="45" t="s">
        <v>22</v>
      </c>
      <c r="F217" s="46">
        <v>39.08</v>
      </c>
      <c r="G217" s="47" t="s">
        <v>71</v>
      </c>
      <c r="H217" s="38">
        <v>0.4</v>
      </c>
    </row>
    <row r="218" spans="2:8" x14ac:dyDescent="0.2">
      <c r="B218" s="40" t="s">
        <v>506</v>
      </c>
      <c r="C218" s="40" t="s">
        <v>507</v>
      </c>
      <c r="D218" s="40" t="s">
        <v>493</v>
      </c>
      <c r="E218" s="41" t="s">
        <v>22</v>
      </c>
      <c r="F218" s="42">
        <v>113.72</v>
      </c>
      <c r="G218" s="43" t="s">
        <v>71</v>
      </c>
      <c r="H218" s="36">
        <v>0.4</v>
      </c>
    </row>
    <row r="219" spans="2:8" x14ac:dyDescent="0.2">
      <c r="B219" s="44" t="s">
        <v>508</v>
      </c>
      <c r="C219" s="44" t="s">
        <v>509</v>
      </c>
      <c r="D219" s="44" t="s">
        <v>493</v>
      </c>
      <c r="E219" s="45" t="s">
        <v>22</v>
      </c>
      <c r="F219" s="46">
        <v>64.92</v>
      </c>
      <c r="G219" s="47" t="s">
        <v>71</v>
      </c>
      <c r="H219" s="38">
        <v>0.4</v>
      </c>
    </row>
    <row r="220" spans="2:8" x14ac:dyDescent="0.2">
      <c r="B220" s="40" t="s">
        <v>510</v>
      </c>
      <c r="C220" s="40" t="s">
        <v>511</v>
      </c>
      <c r="D220" s="40" t="s">
        <v>493</v>
      </c>
      <c r="E220" s="41" t="s">
        <v>22</v>
      </c>
      <c r="F220" s="42">
        <v>50.89</v>
      </c>
      <c r="G220" s="43" t="s">
        <v>71</v>
      </c>
      <c r="H220" s="36">
        <v>0.4</v>
      </c>
    </row>
    <row r="221" spans="2:8" x14ac:dyDescent="0.2">
      <c r="B221" s="44" t="s">
        <v>512</v>
      </c>
      <c r="C221" s="44" t="s">
        <v>513</v>
      </c>
      <c r="D221" s="44" t="s">
        <v>514</v>
      </c>
      <c r="E221" s="45" t="s">
        <v>28</v>
      </c>
      <c r="F221" s="46">
        <v>40.619999999999997</v>
      </c>
      <c r="G221" s="47" t="s">
        <v>71</v>
      </c>
      <c r="H221" s="38">
        <v>0.45</v>
      </c>
    </row>
    <row r="222" spans="2:8" x14ac:dyDescent="0.2">
      <c r="B222" s="40" t="s">
        <v>515</v>
      </c>
      <c r="C222" s="40" t="s">
        <v>516</v>
      </c>
      <c r="D222" s="40" t="s">
        <v>514</v>
      </c>
      <c r="E222" s="41" t="s">
        <v>28</v>
      </c>
      <c r="F222" s="42">
        <v>40.17</v>
      </c>
      <c r="G222" s="43" t="s">
        <v>71</v>
      </c>
      <c r="H222" s="36">
        <v>0.45</v>
      </c>
    </row>
    <row r="223" spans="2:8" x14ac:dyDescent="0.2">
      <c r="B223" s="44" t="s">
        <v>517</v>
      </c>
      <c r="C223" s="44" t="s">
        <v>518</v>
      </c>
      <c r="D223" s="44" t="s">
        <v>514</v>
      </c>
      <c r="E223" s="45" t="s">
        <v>28</v>
      </c>
      <c r="F223" s="46">
        <v>30.97</v>
      </c>
      <c r="G223" s="47" t="s">
        <v>71</v>
      </c>
      <c r="H223" s="38">
        <v>0.45</v>
      </c>
    </row>
    <row r="224" spans="2:8" x14ac:dyDescent="0.2">
      <c r="B224" s="40" t="s">
        <v>519</v>
      </c>
      <c r="C224" s="40" t="s">
        <v>520</v>
      </c>
      <c r="D224" s="40" t="s">
        <v>514</v>
      </c>
      <c r="E224" s="41" t="s">
        <v>35</v>
      </c>
      <c r="F224" s="42">
        <v>238.12</v>
      </c>
      <c r="G224" s="43" t="s">
        <v>71</v>
      </c>
      <c r="H224" s="36">
        <v>0.45</v>
      </c>
    </row>
    <row r="225" spans="2:8" x14ac:dyDescent="0.2">
      <c r="B225" s="44" t="s">
        <v>521</v>
      </c>
      <c r="C225" s="44" t="s">
        <v>522</v>
      </c>
      <c r="D225" s="44" t="s">
        <v>514</v>
      </c>
      <c r="E225" s="45" t="s">
        <v>35</v>
      </c>
      <c r="F225" s="46">
        <v>57.85</v>
      </c>
      <c r="G225" s="47" t="s">
        <v>71</v>
      </c>
      <c r="H225" s="38">
        <v>0.45</v>
      </c>
    </row>
    <row r="226" spans="2:8" x14ac:dyDescent="0.2">
      <c r="B226" s="40" t="s">
        <v>523</v>
      </c>
      <c r="C226" s="40" t="s">
        <v>524</v>
      </c>
      <c r="D226" s="40" t="s">
        <v>514</v>
      </c>
      <c r="E226" s="41" t="s">
        <v>30</v>
      </c>
      <c r="F226" s="42">
        <v>18.34</v>
      </c>
      <c r="G226" s="43" t="s">
        <v>71</v>
      </c>
      <c r="H226" s="36">
        <v>0.45</v>
      </c>
    </row>
    <row r="227" spans="2:8" x14ac:dyDescent="0.2">
      <c r="B227" s="44" t="s">
        <v>525</v>
      </c>
      <c r="C227" s="44" t="s">
        <v>526</v>
      </c>
      <c r="D227" s="44" t="s">
        <v>514</v>
      </c>
      <c r="E227" s="45" t="s">
        <v>30</v>
      </c>
      <c r="F227" s="46">
        <v>23.98</v>
      </c>
      <c r="G227" s="47" t="s">
        <v>71</v>
      </c>
      <c r="H227" s="38">
        <v>0.45</v>
      </c>
    </row>
    <row r="228" spans="2:8" x14ac:dyDescent="0.2">
      <c r="B228" s="40" t="s">
        <v>527</v>
      </c>
      <c r="C228" s="40" t="s">
        <v>528</v>
      </c>
      <c r="D228" s="40" t="s">
        <v>514</v>
      </c>
      <c r="E228" s="41" t="s">
        <v>30</v>
      </c>
      <c r="F228" s="42">
        <v>22.57</v>
      </c>
      <c r="G228" s="43" t="s">
        <v>71</v>
      </c>
      <c r="H228" s="36">
        <v>0.45</v>
      </c>
    </row>
    <row r="229" spans="2:8" x14ac:dyDescent="0.2">
      <c r="B229" s="44" t="s">
        <v>529</v>
      </c>
      <c r="C229" s="44" t="s">
        <v>530</v>
      </c>
      <c r="D229" s="44" t="s">
        <v>514</v>
      </c>
      <c r="E229" s="45" t="s">
        <v>30</v>
      </c>
      <c r="F229" s="46">
        <v>33.840000000000003</v>
      </c>
      <c r="G229" s="47" t="s">
        <v>71</v>
      </c>
      <c r="H229" s="38">
        <v>0.45</v>
      </c>
    </row>
    <row r="230" spans="2:8" x14ac:dyDescent="0.2">
      <c r="B230" s="40" t="s">
        <v>531</v>
      </c>
      <c r="C230" s="40" t="s">
        <v>532</v>
      </c>
      <c r="D230" s="40" t="s">
        <v>514</v>
      </c>
      <c r="E230" s="41" t="s">
        <v>30</v>
      </c>
      <c r="F230" s="42">
        <v>31.03</v>
      </c>
      <c r="G230" s="43" t="s">
        <v>71</v>
      </c>
      <c r="H230" s="36">
        <v>0.45</v>
      </c>
    </row>
    <row r="231" spans="2:8" x14ac:dyDescent="0.2">
      <c r="B231" s="44" t="s">
        <v>533</v>
      </c>
      <c r="C231" s="44" t="s">
        <v>534</v>
      </c>
      <c r="D231" s="44" t="s">
        <v>514</v>
      </c>
      <c r="E231" s="45" t="s">
        <v>39</v>
      </c>
      <c r="F231" s="46">
        <v>32.53</v>
      </c>
      <c r="G231" s="47" t="s">
        <v>71</v>
      </c>
      <c r="H231" s="38">
        <v>0.45</v>
      </c>
    </row>
    <row r="232" spans="2:8" x14ac:dyDescent="0.2">
      <c r="B232" s="40" t="s">
        <v>535</v>
      </c>
      <c r="C232" s="40" t="s">
        <v>536</v>
      </c>
      <c r="D232" s="40" t="s">
        <v>514</v>
      </c>
      <c r="E232" s="41" t="s">
        <v>29</v>
      </c>
      <c r="F232" s="42">
        <v>40.200000000000003</v>
      </c>
      <c r="G232" s="43" t="s">
        <v>71</v>
      </c>
      <c r="H232" s="36">
        <v>0.45</v>
      </c>
    </row>
    <row r="233" spans="2:8" x14ac:dyDescent="0.2">
      <c r="B233" s="44" t="s">
        <v>537</v>
      </c>
      <c r="C233" s="44" t="s">
        <v>538</v>
      </c>
      <c r="D233" s="44" t="s">
        <v>514</v>
      </c>
      <c r="E233" s="45" t="s">
        <v>29</v>
      </c>
      <c r="F233" s="46">
        <v>237.65</v>
      </c>
      <c r="G233" s="47" t="s">
        <v>71</v>
      </c>
      <c r="H233" s="38">
        <v>0.45</v>
      </c>
    </row>
    <row r="234" spans="2:8" x14ac:dyDescent="0.2">
      <c r="B234" s="40" t="s">
        <v>539</v>
      </c>
      <c r="C234" s="40" t="s">
        <v>540</v>
      </c>
      <c r="D234" s="40" t="s">
        <v>514</v>
      </c>
      <c r="E234" s="41" t="s">
        <v>29</v>
      </c>
      <c r="F234" s="42">
        <v>66.84</v>
      </c>
      <c r="G234" s="43" t="s">
        <v>71</v>
      </c>
      <c r="H234" s="36">
        <v>0.45</v>
      </c>
    </row>
    <row r="235" spans="2:8" x14ac:dyDescent="0.2">
      <c r="B235" s="44" t="s">
        <v>541</v>
      </c>
      <c r="C235" s="44" t="s">
        <v>542</v>
      </c>
      <c r="D235" s="44" t="s">
        <v>514</v>
      </c>
      <c r="E235" s="45" t="s">
        <v>29</v>
      </c>
      <c r="F235" s="46">
        <v>34.229999999999997</v>
      </c>
      <c r="G235" s="47" t="s">
        <v>71</v>
      </c>
      <c r="H235" s="38">
        <v>0.45</v>
      </c>
    </row>
  </sheetData>
  <autoFilter ref="B3:H235" xr:uid="{00000000-0009-0000-0000-000002000000}"/>
  <mergeCells count="1">
    <mergeCell ref="B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48235"/>
  </sheetPr>
  <dimension ref="B2:N237"/>
  <sheetViews>
    <sheetView showGridLines="0" zoomScaleNormal="100" workbookViewId="0">
      <pane xSplit="5" ySplit="5" topLeftCell="F31" activePane="bottomRight" state="frozen"/>
      <selection pane="topRight" activeCell="F1" sqref="F1"/>
      <selection pane="bottomLeft" activeCell="A6" sqref="A6"/>
      <selection pane="bottomRight"/>
    </sheetView>
  </sheetViews>
  <sheetFormatPr baseColWidth="10" defaultColWidth="8.6640625" defaultRowHeight="15" x14ac:dyDescent="0.2"/>
  <cols>
    <col min="1" max="1" width="2" customWidth="1"/>
    <col min="2" max="2" width="11" customWidth="1"/>
    <col min="3" max="3" width="26" customWidth="1"/>
    <col min="4" max="4" width="22" customWidth="1"/>
    <col min="5" max="5" width="14" customWidth="1"/>
    <col min="6" max="7" width="12" customWidth="1"/>
    <col min="8" max="14" width="14" customWidth="1"/>
    <col min="15" max="15" width="2" customWidth="1"/>
  </cols>
  <sheetData>
    <row r="2" spans="2:14" ht="17.25" customHeight="1" x14ac:dyDescent="0.2">
      <c r="B2" s="1" t="s">
        <v>543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2:14" ht="15" customHeight="1" x14ac:dyDescent="0.2">
      <c r="B3" s="13" t="s">
        <v>544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2:14" ht="15" customHeight="1" x14ac:dyDescent="0.2">
      <c r="B4" s="62" t="s">
        <v>545</v>
      </c>
      <c r="C4" s="62"/>
      <c r="D4" s="62"/>
      <c r="E4" s="62"/>
      <c r="F4" s="62" t="s">
        <v>546</v>
      </c>
      <c r="G4" s="62"/>
      <c r="H4" s="62" t="s">
        <v>547</v>
      </c>
      <c r="I4" s="62"/>
      <c r="J4" s="62" t="s">
        <v>15</v>
      </c>
      <c r="K4" s="62"/>
      <c r="L4" s="62" t="s">
        <v>16</v>
      </c>
      <c r="M4" s="62"/>
      <c r="N4" s="48" t="s">
        <v>548</v>
      </c>
    </row>
    <row r="5" spans="2:14" ht="28" x14ac:dyDescent="0.2">
      <c r="B5" s="15" t="s">
        <v>62</v>
      </c>
      <c r="C5" s="15" t="s">
        <v>63</v>
      </c>
      <c r="D5" s="15" t="s">
        <v>64</v>
      </c>
      <c r="E5" s="15" t="s">
        <v>549</v>
      </c>
      <c r="F5" s="15" t="s">
        <v>550</v>
      </c>
      <c r="G5" s="15" t="s">
        <v>551</v>
      </c>
      <c r="H5" s="15" t="s">
        <v>552</v>
      </c>
      <c r="I5" s="15" t="s">
        <v>553</v>
      </c>
      <c r="J5" s="15" t="s">
        <v>554</v>
      </c>
      <c r="K5" s="15" t="s">
        <v>555</v>
      </c>
      <c r="L5" s="15" t="s">
        <v>556</v>
      </c>
      <c r="M5" s="15" t="s">
        <v>557</v>
      </c>
      <c r="N5" s="15" t="s">
        <v>558</v>
      </c>
    </row>
    <row r="6" spans="2:14" x14ac:dyDescent="0.2">
      <c r="B6" s="49" t="str">
        <f>'Product Catalog'!B4</f>
        <v>SKU-1001</v>
      </c>
      <c r="C6" s="49" t="str">
        <f>'Product Catalog'!C4</f>
        <v>Bok Choy (Baby)</v>
      </c>
      <c r="D6" s="49" t="str">
        <f>'Product Catalog'!D4</f>
        <v>Asian Vegetables</v>
      </c>
      <c r="E6" s="49" t="str">
        <f>'Product Catalog'!E4</f>
        <v>China</v>
      </c>
      <c r="F6" s="50">
        <f>'Product Catalog'!F4</f>
        <v>15.84</v>
      </c>
      <c r="G6" s="50">
        <f>Methodology!$C$6</f>
        <v>4.5</v>
      </c>
      <c r="H6" s="51">
        <f>(F6+G6)*(1+VLOOKUP(E6,'Tariff Rates'!B:E,2,FALSE()))</f>
        <v>23.390999999999998</v>
      </c>
      <c r="I6" s="52">
        <f>'Product Catalog'!H4/(1+'Product Catalog'!H4)</f>
        <v>0.23076923076923075</v>
      </c>
      <c r="J6" s="51">
        <f>(F6+G6)*(1+VLOOKUP(E6,'Tariff Rates'!B:E,3,FALSE()))</f>
        <v>26.442</v>
      </c>
      <c r="K6" s="52">
        <f>(H6*(1+'Product Catalog'!H4)-J6)/(H6*(1+'Product Catalog'!H4))</f>
        <v>0.13043478260869557</v>
      </c>
      <c r="L6" s="51">
        <f>(F6+G6)*(1+VLOOKUP(E6,'Tariff Rates'!B:E,4,FALSE()))</f>
        <v>30.509999999999998</v>
      </c>
      <c r="M6" s="52">
        <f>(H6*(1+'Product Catalog'!H4)-L6)/(H6*(1+'Product Catalog'!H4))</f>
        <v>-3.3444816053512043E-3</v>
      </c>
      <c r="N6" s="53">
        <f t="shared" ref="N6:N69" si="0">M6-I6</f>
        <v>-0.23411371237458195</v>
      </c>
    </row>
    <row r="7" spans="2:14" x14ac:dyDescent="0.2">
      <c r="B7" s="54" t="str">
        <f>'Product Catalog'!B5</f>
        <v>SKU-1002</v>
      </c>
      <c r="C7" s="54" t="str">
        <f>'Product Catalog'!C5</f>
        <v>Bok Choy (Shanghai)</v>
      </c>
      <c r="D7" s="54" t="str">
        <f>'Product Catalog'!D5</f>
        <v>Asian Vegetables</v>
      </c>
      <c r="E7" s="54" t="str">
        <f>'Product Catalog'!E5</f>
        <v>Mexico</v>
      </c>
      <c r="F7" s="55">
        <f>'Product Catalog'!F5</f>
        <v>14.15</v>
      </c>
      <c r="G7" s="55">
        <f>Methodology!$C$6</f>
        <v>4.5</v>
      </c>
      <c r="H7" s="56">
        <f>(F7+G7)*(1+VLOOKUP(E7,'Tariff Rates'!B:E,2,FALSE()))</f>
        <v>18.649999999999999</v>
      </c>
      <c r="I7" s="57">
        <f>'Product Catalog'!H5/(1+'Product Catalog'!H5)</f>
        <v>0.23076923076923075</v>
      </c>
      <c r="J7" s="56">
        <f>(F7+G7)*(1+VLOOKUP(E7,'Tariff Rates'!B:E,3,FALSE()))</f>
        <v>20.515000000000001</v>
      </c>
      <c r="K7" s="57">
        <f>(H7*(1+'Product Catalog'!H5)-J7)/(H7*(1+'Product Catalog'!H5))</f>
        <v>0.15384615384615374</v>
      </c>
      <c r="L7" s="56">
        <f>(F7+G7)*(1+VLOOKUP(E7,'Tariff Rates'!B:E,4,FALSE()))</f>
        <v>23.3125</v>
      </c>
      <c r="M7" s="57">
        <f>(H7*(1+'Product Catalog'!H5)-L7)/(H7*(1+'Product Catalog'!H5))</f>
        <v>3.846153846153836E-2</v>
      </c>
      <c r="N7" s="58">
        <f t="shared" si="0"/>
        <v>-0.1923076923076924</v>
      </c>
    </row>
    <row r="8" spans="2:14" x14ac:dyDescent="0.2">
      <c r="B8" s="49" t="str">
        <f>'Product Catalog'!B6</f>
        <v>SKU-1003</v>
      </c>
      <c r="C8" s="49" t="str">
        <f>'Product Catalog'!C6</f>
        <v>Napa Cabbage</v>
      </c>
      <c r="D8" s="49" t="str">
        <f>'Product Catalog'!D6</f>
        <v>Asian Vegetables</v>
      </c>
      <c r="E8" s="49" t="str">
        <f>'Product Catalog'!E6</f>
        <v>USA</v>
      </c>
      <c r="F8" s="50">
        <f>'Product Catalog'!F6</f>
        <v>10.38</v>
      </c>
      <c r="G8" s="50">
        <f>Methodology!$C$6</f>
        <v>4.5</v>
      </c>
      <c r="H8" s="51">
        <f>(F8+G8)*(1+VLOOKUP(E8,'Tariff Rates'!B:E,2,FALSE()))</f>
        <v>14.88</v>
      </c>
      <c r="I8" s="52">
        <f>'Product Catalog'!H6/(1+'Product Catalog'!H6)</f>
        <v>0.23076923076923075</v>
      </c>
      <c r="J8" s="51">
        <f>(F8+G8)*(1+VLOOKUP(E8,'Tariff Rates'!B:E,3,FALSE()))</f>
        <v>14.88</v>
      </c>
      <c r="K8" s="52">
        <f>(H8*(1+'Product Catalog'!H6)-J8)/(H8*(1+'Product Catalog'!H6))</f>
        <v>0.23076923076923078</v>
      </c>
      <c r="L8" s="51">
        <f>(F8+G8)*(1+VLOOKUP(E8,'Tariff Rates'!B:E,4,FALSE()))</f>
        <v>14.88</v>
      </c>
      <c r="M8" s="52">
        <f>(H8*(1+'Product Catalog'!H6)-L8)/(H8*(1+'Product Catalog'!H6))</f>
        <v>0.23076923076923078</v>
      </c>
      <c r="N8" s="53">
        <f t="shared" si="0"/>
        <v>0</v>
      </c>
    </row>
    <row r="9" spans="2:14" x14ac:dyDescent="0.2">
      <c r="B9" s="54" t="str">
        <f>'Product Catalog'!B7</f>
        <v>SKU-1004</v>
      </c>
      <c r="C9" s="54" t="str">
        <f>'Product Catalog'!C7</f>
        <v>Chinese Broccoli (Gai Lan)</v>
      </c>
      <c r="D9" s="54" t="str">
        <f>'Product Catalog'!D7</f>
        <v>Asian Vegetables</v>
      </c>
      <c r="E9" s="54" t="str">
        <f>'Product Catalog'!E7</f>
        <v>Mexico</v>
      </c>
      <c r="F9" s="55">
        <f>'Product Catalog'!F7</f>
        <v>17.79</v>
      </c>
      <c r="G9" s="55">
        <f>Methodology!$C$6</f>
        <v>4.5</v>
      </c>
      <c r="H9" s="56">
        <f>(F9+G9)*(1+VLOOKUP(E9,'Tariff Rates'!B:E,2,FALSE()))</f>
        <v>22.29</v>
      </c>
      <c r="I9" s="57">
        <f>'Product Catalog'!H7/(1+'Product Catalog'!H7)</f>
        <v>0.23076923076923075</v>
      </c>
      <c r="J9" s="56">
        <f>(F9+G9)*(1+VLOOKUP(E9,'Tariff Rates'!B:E,3,FALSE()))</f>
        <v>24.519000000000002</v>
      </c>
      <c r="K9" s="57">
        <f>(H9*(1+'Product Catalog'!H7)-J9)/(H9*(1+'Product Catalog'!H7))</f>
        <v>0.1538461538461538</v>
      </c>
      <c r="L9" s="56">
        <f>(F9+G9)*(1+VLOOKUP(E9,'Tariff Rates'!B:E,4,FALSE()))</f>
        <v>27.862499999999997</v>
      </c>
      <c r="M9" s="57">
        <f>(H9*(1+'Product Catalog'!H7)-L9)/(H9*(1+'Product Catalog'!H7))</f>
        <v>3.8461538461538568E-2</v>
      </c>
      <c r="N9" s="58">
        <f t="shared" si="0"/>
        <v>-0.19230769230769218</v>
      </c>
    </row>
    <row r="10" spans="2:14" x14ac:dyDescent="0.2">
      <c r="B10" s="49" t="str">
        <f>'Product Catalog'!B8</f>
        <v>SKU-1005</v>
      </c>
      <c r="C10" s="49" t="str">
        <f>'Product Catalog'!C8</f>
        <v>Yu Choy</v>
      </c>
      <c r="D10" s="49" t="str">
        <f>'Product Catalog'!D8</f>
        <v>Asian Vegetables</v>
      </c>
      <c r="E10" s="49" t="str">
        <f>'Product Catalog'!E8</f>
        <v>Mexico</v>
      </c>
      <c r="F10" s="50">
        <f>'Product Catalog'!F8</f>
        <v>20.16</v>
      </c>
      <c r="G10" s="50">
        <f>Methodology!$C$6</f>
        <v>4.5</v>
      </c>
      <c r="H10" s="51">
        <f>(F10+G10)*(1+VLOOKUP(E10,'Tariff Rates'!B:E,2,FALSE()))</f>
        <v>24.66</v>
      </c>
      <c r="I10" s="52">
        <f>'Product Catalog'!H8/(1+'Product Catalog'!H8)</f>
        <v>0.23076923076923075</v>
      </c>
      <c r="J10" s="51">
        <f>(F10+G10)*(1+VLOOKUP(E10,'Tariff Rates'!B:E,3,FALSE()))</f>
        <v>27.126000000000001</v>
      </c>
      <c r="K10" s="52">
        <f>(H10*(1+'Product Catalog'!H8)-J10)/(H10*(1+'Product Catalog'!H8))</f>
        <v>0.1538461538461538</v>
      </c>
      <c r="L10" s="51">
        <f>(F10+G10)*(1+VLOOKUP(E10,'Tariff Rates'!B:E,4,FALSE()))</f>
        <v>30.824999999999999</v>
      </c>
      <c r="M10" s="52">
        <f>(H10*(1+'Product Catalog'!H8)-L10)/(H10*(1+'Product Catalog'!H8))</f>
        <v>3.8461538461538478E-2</v>
      </c>
      <c r="N10" s="53">
        <f t="shared" si="0"/>
        <v>-0.19230769230769229</v>
      </c>
    </row>
    <row r="11" spans="2:14" x14ac:dyDescent="0.2">
      <c r="B11" s="54" t="str">
        <f>'Product Catalog'!B9</f>
        <v>SKU-1006</v>
      </c>
      <c r="C11" s="54" t="str">
        <f>'Product Catalog'!C9</f>
        <v>Yu Choy Sum</v>
      </c>
      <c r="D11" s="54" t="str">
        <f>'Product Catalog'!D9</f>
        <v>Asian Vegetables</v>
      </c>
      <c r="E11" s="54" t="str">
        <f>'Product Catalog'!E9</f>
        <v>China</v>
      </c>
      <c r="F11" s="55">
        <f>'Product Catalog'!F9</f>
        <v>22.41</v>
      </c>
      <c r="G11" s="55">
        <f>Methodology!$C$6</f>
        <v>4.5</v>
      </c>
      <c r="H11" s="56">
        <f>(F11+G11)*(1+VLOOKUP(E11,'Tariff Rates'!B:E,2,FALSE()))</f>
        <v>30.946499999999997</v>
      </c>
      <c r="I11" s="57">
        <f>'Product Catalog'!H9/(1+'Product Catalog'!H9)</f>
        <v>0.23076923076923075</v>
      </c>
      <c r="J11" s="56">
        <f>(F11+G11)*(1+VLOOKUP(E11,'Tariff Rates'!B:E,3,FALSE()))</f>
        <v>34.983000000000004</v>
      </c>
      <c r="K11" s="57">
        <f>(H11*(1+'Product Catalog'!H9)-J11)/(H11*(1+'Product Catalog'!H9))</f>
        <v>0.13043478260869551</v>
      </c>
      <c r="L11" s="56">
        <f>(F11+G11)*(1+VLOOKUP(E11,'Tariff Rates'!B:E,4,FALSE()))</f>
        <v>40.365000000000002</v>
      </c>
      <c r="M11" s="57">
        <f>(H11*(1+'Product Catalog'!H9)-L11)/(H11*(1+'Product Catalog'!H9))</f>
        <v>-3.3444816053512798E-3</v>
      </c>
      <c r="N11" s="58">
        <f t="shared" si="0"/>
        <v>-0.23411371237458203</v>
      </c>
    </row>
    <row r="12" spans="2:14" x14ac:dyDescent="0.2">
      <c r="B12" s="49" t="str">
        <f>'Product Catalog'!B10</f>
        <v>SKU-1007</v>
      </c>
      <c r="C12" s="49" t="str">
        <f>'Product Catalog'!C10</f>
        <v>Chinese Eggplant</v>
      </c>
      <c r="D12" s="49" t="str">
        <f>'Product Catalog'!D10</f>
        <v>Asian Vegetables</v>
      </c>
      <c r="E12" s="49" t="str">
        <f>'Product Catalog'!E10</f>
        <v>Mexico</v>
      </c>
      <c r="F12" s="50">
        <f>'Product Catalog'!F10</f>
        <v>25.14</v>
      </c>
      <c r="G12" s="50">
        <f>Methodology!$C$6</f>
        <v>4.5</v>
      </c>
      <c r="H12" s="51">
        <f>(F12+G12)*(1+VLOOKUP(E12,'Tariff Rates'!B:E,2,FALSE()))</f>
        <v>29.64</v>
      </c>
      <c r="I12" s="52">
        <f>'Product Catalog'!H10/(1+'Product Catalog'!H10)</f>
        <v>0.23076923076923075</v>
      </c>
      <c r="J12" s="51">
        <f>(F12+G12)*(1+VLOOKUP(E12,'Tariff Rates'!B:E,3,FALSE()))</f>
        <v>32.604000000000006</v>
      </c>
      <c r="K12" s="52">
        <f>(H12*(1+'Product Catalog'!H10)-J12)/(H12*(1+'Product Catalog'!H10))</f>
        <v>0.15384615384615377</v>
      </c>
      <c r="L12" s="51">
        <f>(F12+G12)*(1+VLOOKUP(E12,'Tariff Rates'!B:E,4,FALSE()))</f>
        <v>37.049999999999997</v>
      </c>
      <c r="M12" s="52">
        <f>(H12*(1+'Product Catalog'!H10)-L12)/(H12*(1+'Product Catalog'!H10))</f>
        <v>3.8461538461538623E-2</v>
      </c>
      <c r="N12" s="53">
        <f t="shared" si="0"/>
        <v>-0.19230769230769212</v>
      </c>
    </row>
    <row r="13" spans="2:14" x14ac:dyDescent="0.2">
      <c r="B13" s="54" t="str">
        <f>'Product Catalog'!B11</f>
        <v>SKU-1008</v>
      </c>
      <c r="C13" s="54" t="str">
        <f>'Product Catalog'!C11</f>
        <v>Japanese Eggplant</v>
      </c>
      <c r="D13" s="54" t="str">
        <f>'Product Catalog'!D11</f>
        <v>Asian Vegetables</v>
      </c>
      <c r="E13" s="54" t="str">
        <f>'Product Catalog'!E11</f>
        <v>Mexico</v>
      </c>
      <c r="F13" s="55">
        <f>'Product Catalog'!F11</f>
        <v>19.7</v>
      </c>
      <c r="G13" s="55">
        <f>Methodology!$C$6</f>
        <v>4.5</v>
      </c>
      <c r="H13" s="56">
        <f>(F13+G13)*(1+VLOOKUP(E13,'Tariff Rates'!B:E,2,FALSE()))</f>
        <v>24.2</v>
      </c>
      <c r="I13" s="57">
        <f>'Product Catalog'!H11/(1+'Product Catalog'!H11)</f>
        <v>0.23076923076923075</v>
      </c>
      <c r="J13" s="56">
        <f>(F13+G13)*(1+VLOOKUP(E13,'Tariff Rates'!B:E,3,FALSE()))</f>
        <v>26.62</v>
      </c>
      <c r="K13" s="57">
        <f>(H13*(1+'Product Catalog'!H11)-J13)/(H13*(1+'Product Catalog'!H11))</f>
        <v>0.15384615384615383</v>
      </c>
      <c r="L13" s="56">
        <f>(F13+G13)*(1+VLOOKUP(E13,'Tariff Rates'!B:E,4,FALSE()))</f>
        <v>30.25</v>
      </c>
      <c r="M13" s="57">
        <f>(H13*(1+'Product Catalog'!H11)-L13)/(H13*(1+'Product Catalog'!H11))</f>
        <v>3.8461538461538484E-2</v>
      </c>
      <c r="N13" s="58">
        <f t="shared" si="0"/>
        <v>-0.19230769230769226</v>
      </c>
    </row>
    <row r="14" spans="2:14" x14ac:dyDescent="0.2">
      <c r="B14" s="49" t="str">
        <f>'Product Catalog'!B12</f>
        <v>SKU-1009</v>
      </c>
      <c r="C14" s="49" t="str">
        <f>'Product Catalog'!C12</f>
        <v>Thai Eggplant</v>
      </c>
      <c r="D14" s="49" t="str">
        <f>'Product Catalog'!D12</f>
        <v>Asian Vegetables</v>
      </c>
      <c r="E14" s="49" t="str">
        <f>'Product Catalog'!E12</f>
        <v>Thailand</v>
      </c>
      <c r="F14" s="50">
        <f>'Product Catalog'!F12</f>
        <v>25.38</v>
      </c>
      <c r="G14" s="50">
        <f>Methodology!$C$6</f>
        <v>4.5</v>
      </c>
      <c r="H14" s="51">
        <f>(F14+G14)*(1+VLOOKUP(E14,'Tariff Rates'!B:E,2,FALSE()))</f>
        <v>31.373999999999999</v>
      </c>
      <c r="I14" s="52">
        <f>'Product Catalog'!H12/(1+'Product Catalog'!H12)</f>
        <v>0.23076923076923075</v>
      </c>
      <c r="J14" s="51">
        <f>(F14+G14)*(1+VLOOKUP(E14,'Tariff Rates'!B:E,3,FALSE()))</f>
        <v>34.361999999999995</v>
      </c>
      <c r="K14" s="52">
        <f>(H14*(1+'Product Catalog'!H12)-J14)/(H14*(1+'Product Catalog'!H12))</f>
        <v>0.15750915750915764</v>
      </c>
      <c r="L14" s="51">
        <f>(F14+G14)*(1+VLOOKUP(E14,'Tariff Rates'!B:E,4,FALSE()))</f>
        <v>37.35</v>
      </c>
      <c r="M14" s="52">
        <f>(H14*(1+'Product Catalog'!H12)-L14)/(H14*(1+'Product Catalog'!H12))</f>
        <v>8.4249084249084241E-2</v>
      </c>
      <c r="N14" s="53">
        <f t="shared" si="0"/>
        <v>-0.1465201465201465</v>
      </c>
    </row>
    <row r="15" spans="2:14" x14ac:dyDescent="0.2">
      <c r="B15" s="54" t="str">
        <f>'Product Catalog'!B13</f>
        <v>SKU-1010</v>
      </c>
      <c r="C15" s="54" t="str">
        <f>'Product Catalog'!C13</f>
        <v>Daikon Radish</v>
      </c>
      <c r="D15" s="54" t="str">
        <f>'Product Catalog'!D13</f>
        <v>Asian Vegetables</v>
      </c>
      <c r="E15" s="54" t="str">
        <f>'Product Catalog'!E13</f>
        <v>USA</v>
      </c>
      <c r="F15" s="55">
        <f>'Product Catalog'!F13</f>
        <v>10.18</v>
      </c>
      <c r="G15" s="55">
        <f>Methodology!$C$6</f>
        <v>4.5</v>
      </c>
      <c r="H15" s="56">
        <f>(F15+G15)*(1+VLOOKUP(E15,'Tariff Rates'!B:E,2,FALSE()))</f>
        <v>14.68</v>
      </c>
      <c r="I15" s="57">
        <f>'Product Catalog'!H13/(1+'Product Catalog'!H13)</f>
        <v>0.23076923076923075</v>
      </c>
      <c r="J15" s="56">
        <f>(F15+G15)*(1+VLOOKUP(E15,'Tariff Rates'!B:E,3,FALSE()))</f>
        <v>14.68</v>
      </c>
      <c r="K15" s="57">
        <f>(H15*(1+'Product Catalog'!H13)-J15)/(H15*(1+'Product Catalog'!H13))</f>
        <v>0.23076923076923078</v>
      </c>
      <c r="L15" s="56">
        <f>(F15+G15)*(1+VLOOKUP(E15,'Tariff Rates'!B:E,4,FALSE()))</f>
        <v>14.68</v>
      </c>
      <c r="M15" s="57">
        <f>(H15*(1+'Product Catalog'!H13)-L15)/(H15*(1+'Product Catalog'!H13))</f>
        <v>0.23076923076923078</v>
      </c>
      <c r="N15" s="58">
        <f t="shared" si="0"/>
        <v>0</v>
      </c>
    </row>
    <row r="16" spans="2:14" x14ac:dyDescent="0.2">
      <c r="B16" s="49" t="str">
        <f>'Product Catalog'!B14</f>
        <v>SKU-1011</v>
      </c>
      <c r="C16" s="49" t="str">
        <f>'Product Catalog'!C14</f>
        <v>Korean Radish</v>
      </c>
      <c r="D16" s="49" t="str">
        <f>'Product Catalog'!D14</f>
        <v>Asian Vegetables</v>
      </c>
      <c r="E16" s="49" t="str">
        <f>'Product Catalog'!E14</f>
        <v>South Korea</v>
      </c>
      <c r="F16" s="50">
        <f>'Product Catalog'!F14</f>
        <v>15.75</v>
      </c>
      <c r="G16" s="50">
        <f>Methodology!$C$6</f>
        <v>4.5</v>
      </c>
      <c r="H16" s="51">
        <f>(F16+G16)*(1+VLOOKUP(E16,'Tariff Rates'!B:E,2,FALSE()))</f>
        <v>20.25</v>
      </c>
      <c r="I16" s="52">
        <f>'Product Catalog'!H14/(1+'Product Catalog'!H14)</f>
        <v>0.23076923076923075</v>
      </c>
      <c r="J16" s="51">
        <f>(F16+G16)*(1+VLOOKUP(E16,'Tariff Rates'!B:E,3,FALSE()))</f>
        <v>22.275000000000002</v>
      </c>
      <c r="K16" s="52">
        <f>(H16*(1+'Product Catalog'!H14)-J16)/(H16*(1+'Product Catalog'!H14))</f>
        <v>0.15384615384615374</v>
      </c>
      <c r="L16" s="51">
        <f>(F16+G16)*(1+VLOOKUP(E16,'Tariff Rates'!B:E,4,FALSE()))</f>
        <v>23.287499999999998</v>
      </c>
      <c r="M16" s="52">
        <f>(H16*(1+'Product Catalog'!H14)-L16)/(H16*(1+'Product Catalog'!H14))</f>
        <v>0.11538461538461545</v>
      </c>
      <c r="N16" s="53">
        <f t="shared" si="0"/>
        <v>-0.11538461538461531</v>
      </c>
    </row>
    <row r="17" spans="2:14" x14ac:dyDescent="0.2">
      <c r="B17" s="54" t="str">
        <f>'Product Catalog'!B15</f>
        <v>SKU-1012</v>
      </c>
      <c r="C17" s="54" t="str">
        <f>'Product Catalog'!C15</f>
        <v>Water Spinach</v>
      </c>
      <c r="D17" s="54" t="str">
        <f>'Product Catalog'!D15</f>
        <v>Asian Vegetables</v>
      </c>
      <c r="E17" s="54" t="str">
        <f>'Product Catalog'!E15</f>
        <v>Vietnam</v>
      </c>
      <c r="F17" s="55">
        <f>'Product Catalog'!F15</f>
        <v>24.04</v>
      </c>
      <c r="G17" s="55">
        <f>Methodology!$C$6</f>
        <v>4.5</v>
      </c>
      <c r="H17" s="56">
        <f>(F17+G17)*(1+VLOOKUP(E17,'Tariff Rates'!B:E,2,FALSE()))</f>
        <v>29.966999999999999</v>
      </c>
      <c r="I17" s="57">
        <f>'Product Catalog'!H15/(1+'Product Catalog'!H15)</f>
        <v>0.23076923076923075</v>
      </c>
      <c r="J17" s="56">
        <f>(F17+G17)*(1+VLOOKUP(E17,'Tariff Rates'!B:E,3,FALSE()))</f>
        <v>34.247999999999998</v>
      </c>
      <c r="K17" s="57">
        <f>(H17*(1+'Product Catalog'!H15)-J17)/(H17*(1+'Product Catalog'!H15))</f>
        <v>0.12087912087912088</v>
      </c>
      <c r="L17" s="56">
        <f>(F17+G17)*(1+VLOOKUP(E17,'Tariff Rates'!B:E,4,FALSE()))</f>
        <v>41.668399999999998</v>
      </c>
      <c r="M17" s="57">
        <f>(H17*(1+'Product Catalog'!H15)-L17)/(H17*(1+'Product Catalog'!H15))</f>
        <v>-6.9597069597069641E-2</v>
      </c>
      <c r="N17" s="58">
        <f t="shared" si="0"/>
        <v>-0.30036630036630041</v>
      </c>
    </row>
    <row r="18" spans="2:14" x14ac:dyDescent="0.2">
      <c r="B18" s="49" t="str">
        <f>'Product Catalog'!B16</f>
        <v>SKU-1013</v>
      </c>
      <c r="C18" s="49" t="str">
        <f>'Product Catalog'!C16</f>
        <v>Malabar Spinach</v>
      </c>
      <c r="D18" s="49" t="str">
        <f>'Product Catalog'!D16</f>
        <v>Asian Vegetables</v>
      </c>
      <c r="E18" s="49" t="str">
        <f>'Product Catalog'!E16</f>
        <v>Vietnam</v>
      </c>
      <c r="F18" s="50">
        <f>'Product Catalog'!F16</f>
        <v>22.21</v>
      </c>
      <c r="G18" s="50">
        <f>Methodology!$C$6</f>
        <v>4.5</v>
      </c>
      <c r="H18" s="51">
        <f>(F18+G18)*(1+VLOOKUP(E18,'Tariff Rates'!B:E,2,FALSE()))</f>
        <v>28.045500000000001</v>
      </c>
      <c r="I18" s="52">
        <f>'Product Catalog'!H16/(1+'Product Catalog'!H16)</f>
        <v>0.23076923076923075</v>
      </c>
      <c r="J18" s="51">
        <f>(F18+G18)*(1+VLOOKUP(E18,'Tariff Rates'!B:E,3,FALSE()))</f>
        <v>32.052</v>
      </c>
      <c r="K18" s="52">
        <f>(H18*(1+'Product Catalog'!H16)-J18)/(H18*(1+'Product Catalog'!H16))</f>
        <v>0.12087912087912092</v>
      </c>
      <c r="L18" s="51">
        <f>(F18+G18)*(1+VLOOKUP(E18,'Tariff Rates'!B:E,4,FALSE()))</f>
        <v>38.996600000000001</v>
      </c>
      <c r="M18" s="52">
        <f>(H18*(1+'Product Catalog'!H16)-L18)/(H18*(1+'Product Catalog'!H16))</f>
        <v>-6.9597069597069586E-2</v>
      </c>
      <c r="N18" s="53">
        <f t="shared" si="0"/>
        <v>-0.30036630036630035</v>
      </c>
    </row>
    <row r="19" spans="2:14" x14ac:dyDescent="0.2">
      <c r="B19" s="54" t="str">
        <f>'Product Catalog'!B17</f>
        <v>SKU-1014</v>
      </c>
      <c r="C19" s="54" t="str">
        <f>'Product Catalog'!C17</f>
        <v>Mustard Greens</v>
      </c>
      <c r="D19" s="54" t="str">
        <f>'Product Catalog'!D17</f>
        <v>Asian Vegetables</v>
      </c>
      <c r="E19" s="54" t="str">
        <f>'Product Catalog'!E17</f>
        <v>Mexico</v>
      </c>
      <c r="F19" s="55">
        <f>'Product Catalog'!F17</f>
        <v>15.19</v>
      </c>
      <c r="G19" s="55">
        <f>Methodology!$C$6</f>
        <v>4.5</v>
      </c>
      <c r="H19" s="56">
        <f>(F19+G19)*(1+VLOOKUP(E19,'Tariff Rates'!B:E,2,FALSE()))</f>
        <v>19.689999999999998</v>
      </c>
      <c r="I19" s="57">
        <f>'Product Catalog'!H17/(1+'Product Catalog'!H17)</f>
        <v>0.23076923076923075</v>
      </c>
      <c r="J19" s="56">
        <f>(F19+G19)*(1+VLOOKUP(E19,'Tariff Rates'!B:E,3,FALSE()))</f>
        <v>21.658999999999999</v>
      </c>
      <c r="K19" s="57">
        <f>(H19*(1+'Product Catalog'!H17)-J19)/(H19*(1+'Product Catalog'!H17))</f>
        <v>0.15384615384615383</v>
      </c>
      <c r="L19" s="56">
        <f>(F19+G19)*(1+VLOOKUP(E19,'Tariff Rates'!B:E,4,FALSE()))</f>
        <v>24.612499999999997</v>
      </c>
      <c r="M19" s="57">
        <f>(H19*(1+'Product Catalog'!H17)-L19)/(H19*(1+'Product Catalog'!H17))</f>
        <v>3.8461538461538491E-2</v>
      </c>
      <c r="N19" s="58">
        <f t="shared" si="0"/>
        <v>-0.19230769230769226</v>
      </c>
    </row>
    <row r="20" spans="2:14" x14ac:dyDescent="0.2">
      <c r="B20" s="49" t="str">
        <f>'Product Catalog'!B18</f>
        <v>SKU-1015</v>
      </c>
      <c r="C20" s="49" t="str">
        <f>'Product Catalog'!C18</f>
        <v>Chinese Celery</v>
      </c>
      <c r="D20" s="49" t="str">
        <f>'Product Catalog'!D18</f>
        <v>Asian Vegetables</v>
      </c>
      <c r="E20" s="49" t="str">
        <f>'Product Catalog'!E18</f>
        <v>Mexico</v>
      </c>
      <c r="F20" s="50">
        <f>'Product Catalog'!F18</f>
        <v>16.899999999999999</v>
      </c>
      <c r="G20" s="50">
        <f>Methodology!$C$6</f>
        <v>4.5</v>
      </c>
      <c r="H20" s="51">
        <f>(F20+G20)*(1+VLOOKUP(E20,'Tariff Rates'!B:E,2,FALSE()))</f>
        <v>21.4</v>
      </c>
      <c r="I20" s="52">
        <f>'Product Catalog'!H18/(1+'Product Catalog'!H18)</f>
        <v>0.23076923076923075</v>
      </c>
      <c r="J20" s="51">
        <f>(F20+G20)*(1+VLOOKUP(E20,'Tariff Rates'!B:E,3,FALSE()))</f>
        <v>23.54</v>
      </c>
      <c r="K20" s="52">
        <f>(H20*(1+'Product Catalog'!H18)-J20)/(H20*(1+'Product Catalog'!H18))</f>
        <v>0.15384615384615388</v>
      </c>
      <c r="L20" s="51">
        <f>(F20+G20)*(1+VLOOKUP(E20,'Tariff Rates'!B:E,4,FALSE()))</f>
        <v>26.75</v>
      </c>
      <c r="M20" s="52">
        <f>(H20*(1+'Product Catalog'!H18)-L20)/(H20*(1+'Product Catalog'!H18))</f>
        <v>3.8461538461538471E-2</v>
      </c>
      <c r="N20" s="53">
        <f t="shared" si="0"/>
        <v>-0.19230769230769229</v>
      </c>
    </row>
    <row r="21" spans="2:14" x14ac:dyDescent="0.2">
      <c r="B21" s="54" t="str">
        <f>'Product Catalog'!B19</f>
        <v>SKU-1016</v>
      </c>
      <c r="C21" s="54" t="str">
        <f>'Product Catalog'!C19</f>
        <v>Garlic Chives</v>
      </c>
      <c r="D21" s="54" t="str">
        <f>'Product Catalog'!D19</f>
        <v>Asian Vegetables</v>
      </c>
      <c r="E21" s="54" t="str">
        <f>'Product Catalog'!E19</f>
        <v>China</v>
      </c>
      <c r="F21" s="55">
        <f>'Product Catalog'!F19</f>
        <v>29.45</v>
      </c>
      <c r="G21" s="55">
        <f>Methodology!$C$6</f>
        <v>4.5</v>
      </c>
      <c r="H21" s="56">
        <f>(F21+G21)*(1+VLOOKUP(E21,'Tariff Rates'!B:E,2,FALSE()))</f>
        <v>39.042499999999997</v>
      </c>
      <c r="I21" s="57">
        <f>'Product Catalog'!H19/(1+'Product Catalog'!H19)</f>
        <v>0.23076923076923075</v>
      </c>
      <c r="J21" s="56">
        <f>(F21+G21)*(1+VLOOKUP(E21,'Tariff Rates'!B:E,3,FALSE()))</f>
        <v>44.135000000000005</v>
      </c>
      <c r="K21" s="57">
        <f>(H21*(1+'Product Catalog'!H19)-J21)/(H21*(1+'Product Catalog'!H19))</f>
        <v>0.13043478260869548</v>
      </c>
      <c r="L21" s="56">
        <f>(F21+G21)*(1+VLOOKUP(E21,'Tariff Rates'!B:E,4,FALSE()))</f>
        <v>50.925000000000004</v>
      </c>
      <c r="M21" s="57">
        <f>(H21*(1+'Product Catalog'!H19)-L21)/(H21*(1+'Product Catalog'!H19))</f>
        <v>-3.344481605351321E-3</v>
      </c>
      <c r="N21" s="58">
        <f t="shared" si="0"/>
        <v>-0.23411371237458206</v>
      </c>
    </row>
    <row r="22" spans="2:14" x14ac:dyDescent="0.2">
      <c r="B22" s="49" t="str">
        <f>'Product Catalog'!B20</f>
        <v>SKU-1017</v>
      </c>
      <c r="C22" s="49" t="str">
        <f>'Product Catalog'!C20</f>
        <v>Bitter Melon</v>
      </c>
      <c r="D22" s="49" t="str">
        <f>'Product Catalog'!D20</f>
        <v>Asian Vegetables</v>
      </c>
      <c r="E22" s="49" t="str">
        <f>'Product Catalog'!E20</f>
        <v>Mexico</v>
      </c>
      <c r="F22" s="50">
        <f>'Product Catalog'!F20</f>
        <v>19.760000000000002</v>
      </c>
      <c r="G22" s="50">
        <f>Methodology!$C$6</f>
        <v>4.5</v>
      </c>
      <c r="H22" s="51">
        <f>(F22+G22)*(1+VLOOKUP(E22,'Tariff Rates'!B:E,2,FALSE()))</f>
        <v>24.26</v>
      </c>
      <c r="I22" s="52">
        <f>'Product Catalog'!H20/(1+'Product Catalog'!H20)</f>
        <v>0.23076923076923075</v>
      </c>
      <c r="J22" s="51">
        <f>(F22+G22)*(1+VLOOKUP(E22,'Tariff Rates'!B:E,3,FALSE()))</f>
        <v>26.686000000000003</v>
      </c>
      <c r="K22" s="52">
        <f>(H22*(1+'Product Catalog'!H20)-J22)/(H22*(1+'Product Catalog'!H20))</f>
        <v>0.15384615384615383</v>
      </c>
      <c r="L22" s="51">
        <f>(F22+G22)*(1+VLOOKUP(E22,'Tariff Rates'!B:E,4,FALSE()))</f>
        <v>30.325000000000003</v>
      </c>
      <c r="M22" s="52">
        <f>(H22*(1+'Product Catalog'!H20)-L22)/(H22*(1+'Product Catalog'!H20))</f>
        <v>3.8461538461538484E-2</v>
      </c>
      <c r="N22" s="53">
        <f t="shared" si="0"/>
        <v>-0.19230769230769226</v>
      </c>
    </row>
    <row r="23" spans="2:14" x14ac:dyDescent="0.2">
      <c r="B23" s="54" t="str">
        <f>'Product Catalog'!B21</f>
        <v>SKU-1018</v>
      </c>
      <c r="C23" s="54" t="str">
        <f>'Product Catalog'!C21</f>
        <v>Opo Squash</v>
      </c>
      <c r="D23" s="54" t="str">
        <f>'Product Catalog'!D21</f>
        <v>Asian Vegetables</v>
      </c>
      <c r="E23" s="54" t="str">
        <f>'Product Catalog'!E21</f>
        <v>Mexico</v>
      </c>
      <c r="F23" s="55">
        <f>'Product Catalog'!F21</f>
        <v>18.12</v>
      </c>
      <c r="G23" s="55">
        <f>Methodology!$C$6</f>
        <v>4.5</v>
      </c>
      <c r="H23" s="56">
        <f>(F23+G23)*(1+VLOOKUP(E23,'Tariff Rates'!B:E,2,FALSE()))</f>
        <v>22.62</v>
      </c>
      <c r="I23" s="57">
        <f>'Product Catalog'!H21/(1+'Product Catalog'!H21)</f>
        <v>0.23076923076923075</v>
      </c>
      <c r="J23" s="56">
        <f>(F23+G23)*(1+VLOOKUP(E23,'Tariff Rates'!B:E,3,FALSE()))</f>
        <v>24.882000000000001</v>
      </c>
      <c r="K23" s="57">
        <f>(H23*(1+'Product Catalog'!H21)-J23)/(H23*(1+'Product Catalog'!H21))</f>
        <v>0.15384615384615385</v>
      </c>
      <c r="L23" s="56">
        <f>(F23+G23)*(1+VLOOKUP(E23,'Tariff Rates'!B:E,4,FALSE()))</f>
        <v>28.275000000000002</v>
      </c>
      <c r="M23" s="57">
        <f>(H23*(1+'Product Catalog'!H21)-L23)/(H23*(1+'Product Catalog'!H21))</f>
        <v>3.8461538461538464E-2</v>
      </c>
      <c r="N23" s="58">
        <f t="shared" si="0"/>
        <v>-0.19230769230769229</v>
      </c>
    </row>
    <row r="24" spans="2:14" x14ac:dyDescent="0.2">
      <c r="B24" s="49" t="str">
        <f>'Product Catalog'!B22</f>
        <v>SKU-1019</v>
      </c>
      <c r="C24" s="49" t="str">
        <f>'Product Catalog'!C22</f>
        <v>Luffa (Angled)</v>
      </c>
      <c r="D24" s="49" t="str">
        <f>'Product Catalog'!D22</f>
        <v>Asian Vegetables</v>
      </c>
      <c r="E24" s="49" t="str">
        <f>'Product Catalog'!E22</f>
        <v>Vietnam</v>
      </c>
      <c r="F24" s="50">
        <f>'Product Catalog'!F22</f>
        <v>25.48</v>
      </c>
      <c r="G24" s="50">
        <f>Methodology!$C$6</f>
        <v>4.5</v>
      </c>
      <c r="H24" s="51">
        <f>(F24+G24)*(1+VLOOKUP(E24,'Tariff Rates'!B:E,2,FALSE()))</f>
        <v>31.479000000000003</v>
      </c>
      <c r="I24" s="52">
        <f>'Product Catalog'!H22/(1+'Product Catalog'!H22)</f>
        <v>0.23076923076923075</v>
      </c>
      <c r="J24" s="51">
        <f>(F24+G24)*(1+VLOOKUP(E24,'Tariff Rates'!B:E,3,FALSE()))</f>
        <v>35.975999999999999</v>
      </c>
      <c r="K24" s="52">
        <f>(H24*(1+'Product Catalog'!H22)-J24)/(H24*(1+'Product Catalog'!H22))</f>
        <v>0.12087912087912103</v>
      </c>
      <c r="L24" s="51">
        <f>(F24+G24)*(1+VLOOKUP(E24,'Tariff Rates'!B:E,4,FALSE()))</f>
        <v>43.770800000000001</v>
      </c>
      <c r="M24" s="52">
        <f>(H24*(1+'Product Catalog'!H22)-L24)/(H24*(1+'Product Catalog'!H22))</f>
        <v>-6.9597069597069475E-2</v>
      </c>
      <c r="N24" s="53">
        <f t="shared" si="0"/>
        <v>-0.30036630036630024</v>
      </c>
    </row>
    <row r="25" spans="2:14" x14ac:dyDescent="0.2">
      <c r="B25" s="54" t="str">
        <f>'Product Catalog'!B23</f>
        <v>SKU-1020</v>
      </c>
      <c r="C25" s="54" t="str">
        <f>'Product Catalog'!C23</f>
        <v>Luffa (Smooth)</v>
      </c>
      <c r="D25" s="54" t="str">
        <f>'Product Catalog'!D23</f>
        <v>Asian Vegetables</v>
      </c>
      <c r="E25" s="54" t="str">
        <f>'Product Catalog'!E23</f>
        <v>Vietnam</v>
      </c>
      <c r="F25" s="55">
        <f>'Product Catalog'!F23</f>
        <v>18.05</v>
      </c>
      <c r="G25" s="55">
        <f>Methodology!$C$6</f>
        <v>4.5</v>
      </c>
      <c r="H25" s="56">
        <f>(F25+G25)*(1+VLOOKUP(E25,'Tariff Rates'!B:E,2,FALSE()))</f>
        <v>23.677500000000002</v>
      </c>
      <c r="I25" s="57">
        <f>'Product Catalog'!H23/(1+'Product Catalog'!H23)</f>
        <v>0.23076923076923075</v>
      </c>
      <c r="J25" s="56">
        <f>(F25+G25)*(1+VLOOKUP(E25,'Tariff Rates'!B:E,3,FALSE()))</f>
        <v>27.06</v>
      </c>
      <c r="K25" s="57">
        <f>(H25*(1+'Product Catalog'!H23)-J25)/(H25*(1+'Product Catalog'!H23))</f>
        <v>0.12087912087912106</v>
      </c>
      <c r="L25" s="56">
        <f>(F25+G25)*(1+VLOOKUP(E25,'Tariff Rates'!B:E,4,FALSE()))</f>
        <v>32.923000000000002</v>
      </c>
      <c r="M25" s="57">
        <f>(H25*(1+'Product Catalog'!H23)-L25)/(H25*(1+'Product Catalog'!H23))</f>
        <v>-6.9597069597069489E-2</v>
      </c>
      <c r="N25" s="58">
        <f t="shared" si="0"/>
        <v>-0.30036630036630024</v>
      </c>
    </row>
    <row r="26" spans="2:14" x14ac:dyDescent="0.2">
      <c r="B26" s="49" t="str">
        <f>'Product Catalog'!B24</f>
        <v>SKU-1021</v>
      </c>
      <c r="C26" s="49" t="str">
        <f>'Product Catalog'!C24</f>
        <v>Winter Melon</v>
      </c>
      <c r="D26" s="49" t="str">
        <f>'Product Catalog'!D24</f>
        <v>Asian Vegetables</v>
      </c>
      <c r="E26" s="49" t="str">
        <f>'Product Catalog'!E24</f>
        <v>China</v>
      </c>
      <c r="F26" s="50">
        <f>'Product Catalog'!F24</f>
        <v>18.64</v>
      </c>
      <c r="G26" s="50">
        <f>Methodology!$C$6</f>
        <v>4.5</v>
      </c>
      <c r="H26" s="51">
        <f>(F26+G26)*(1+VLOOKUP(E26,'Tariff Rates'!B:E,2,FALSE()))</f>
        <v>26.610999999999997</v>
      </c>
      <c r="I26" s="52">
        <f>'Product Catalog'!H24/(1+'Product Catalog'!H24)</f>
        <v>0.23076923076923075</v>
      </c>
      <c r="J26" s="51">
        <f>(F26+G26)*(1+VLOOKUP(E26,'Tariff Rates'!B:E,3,FALSE()))</f>
        <v>30.082000000000001</v>
      </c>
      <c r="K26" s="52">
        <f>(H26*(1+'Product Catalog'!H24)-J26)/(H26*(1+'Product Catalog'!H24))</f>
        <v>0.13043478260869557</v>
      </c>
      <c r="L26" s="51">
        <f>(F26+G26)*(1+VLOOKUP(E26,'Tariff Rates'!B:E,4,FALSE()))</f>
        <v>34.71</v>
      </c>
      <c r="M26" s="52">
        <f>(H26*(1+'Product Catalog'!H24)-L26)/(H26*(1+'Product Catalog'!H24))</f>
        <v>-3.3444816053512837E-3</v>
      </c>
      <c r="N26" s="53">
        <f t="shared" si="0"/>
        <v>-0.23411371237458203</v>
      </c>
    </row>
    <row r="27" spans="2:14" x14ac:dyDescent="0.2">
      <c r="B27" s="54" t="str">
        <f>'Product Catalog'!B25</f>
        <v>SKU-1022</v>
      </c>
      <c r="C27" s="54" t="str">
        <f>'Product Catalog'!C25</f>
        <v>Fuzzy Melon</v>
      </c>
      <c r="D27" s="54" t="str">
        <f>'Product Catalog'!D25</f>
        <v>Asian Vegetables</v>
      </c>
      <c r="E27" s="54" t="str">
        <f>'Product Catalog'!E25</f>
        <v>China</v>
      </c>
      <c r="F27" s="55">
        <f>'Product Catalog'!F25</f>
        <v>21.89</v>
      </c>
      <c r="G27" s="55">
        <f>Methodology!$C$6</f>
        <v>4.5</v>
      </c>
      <c r="H27" s="56">
        <f>(F27+G27)*(1+VLOOKUP(E27,'Tariff Rates'!B:E,2,FALSE()))</f>
        <v>30.348499999999998</v>
      </c>
      <c r="I27" s="57">
        <f>'Product Catalog'!H25/(1+'Product Catalog'!H25)</f>
        <v>0.23076923076923075</v>
      </c>
      <c r="J27" s="56">
        <f>(F27+G27)*(1+VLOOKUP(E27,'Tariff Rates'!B:E,3,FALSE()))</f>
        <v>34.307000000000002</v>
      </c>
      <c r="K27" s="57">
        <f>(H27*(1+'Product Catalog'!H25)-J27)/(H27*(1+'Product Catalog'!H25))</f>
        <v>0.13043478260869554</v>
      </c>
      <c r="L27" s="56">
        <f>(F27+G27)*(1+VLOOKUP(E27,'Tariff Rates'!B:E,4,FALSE()))</f>
        <v>39.585000000000001</v>
      </c>
      <c r="M27" s="57">
        <f>(H27*(1+'Product Catalog'!H25)-L27)/(H27*(1+'Product Catalog'!H25))</f>
        <v>-3.3444816053512555E-3</v>
      </c>
      <c r="N27" s="58">
        <f t="shared" si="0"/>
        <v>-0.23411371237458201</v>
      </c>
    </row>
    <row r="28" spans="2:14" x14ac:dyDescent="0.2">
      <c r="B28" s="49" t="str">
        <f>'Product Catalog'!B26</f>
        <v>SKU-1023</v>
      </c>
      <c r="C28" s="49" t="str">
        <f>'Product Catalog'!C26</f>
        <v>Chayote</v>
      </c>
      <c r="D28" s="49" t="str">
        <f>'Product Catalog'!D26</f>
        <v>Asian Vegetables</v>
      </c>
      <c r="E28" s="49" t="str">
        <f>'Product Catalog'!E26</f>
        <v>Mexico</v>
      </c>
      <c r="F28" s="50">
        <f>'Product Catalog'!F26</f>
        <v>13.04</v>
      </c>
      <c r="G28" s="50">
        <f>Methodology!$C$6</f>
        <v>4.5</v>
      </c>
      <c r="H28" s="51">
        <f>(F28+G28)*(1+VLOOKUP(E28,'Tariff Rates'!B:E,2,FALSE()))</f>
        <v>17.54</v>
      </c>
      <c r="I28" s="52">
        <f>'Product Catalog'!H26/(1+'Product Catalog'!H26)</f>
        <v>0.23076923076923075</v>
      </c>
      <c r="J28" s="51">
        <f>(F28+G28)*(1+VLOOKUP(E28,'Tariff Rates'!B:E,3,FALSE()))</f>
        <v>19.294</v>
      </c>
      <c r="K28" s="52">
        <f>(H28*(1+'Product Catalog'!H26)-J28)/(H28*(1+'Product Catalog'!H26))</f>
        <v>0.1538461538461538</v>
      </c>
      <c r="L28" s="51">
        <f>(F28+G28)*(1+VLOOKUP(E28,'Tariff Rates'!B:E,4,FALSE()))</f>
        <v>21.924999999999997</v>
      </c>
      <c r="M28" s="52">
        <f>(H28*(1+'Product Catalog'!H26)-L28)/(H28*(1+'Product Catalog'!H26))</f>
        <v>3.8461538461538568E-2</v>
      </c>
      <c r="N28" s="53">
        <f t="shared" si="0"/>
        <v>-0.19230769230769218</v>
      </c>
    </row>
    <row r="29" spans="2:14" x14ac:dyDescent="0.2">
      <c r="B29" s="54" t="str">
        <f>'Product Catalog'!B27</f>
        <v>SKU-1024</v>
      </c>
      <c r="C29" s="54" t="str">
        <f>'Product Catalog'!C27</f>
        <v>Snow Peas</v>
      </c>
      <c r="D29" s="54" t="str">
        <f>'Product Catalog'!D27</f>
        <v>Asian Vegetables</v>
      </c>
      <c r="E29" s="54" t="str">
        <f>'Product Catalog'!E27</f>
        <v>Guatemala</v>
      </c>
      <c r="F29" s="55">
        <f>'Product Catalog'!F27</f>
        <v>29.55</v>
      </c>
      <c r="G29" s="55">
        <f>Methodology!$C$6</f>
        <v>4.5</v>
      </c>
      <c r="H29" s="56">
        <f>(F29+G29)*(1+VLOOKUP(E29,'Tariff Rates'!B:E,2,FALSE()))</f>
        <v>34.049999999999997</v>
      </c>
      <c r="I29" s="57">
        <f>'Product Catalog'!H27/(1+'Product Catalog'!H27)</f>
        <v>0.23076923076923075</v>
      </c>
      <c r="J29" s="56">
        <f>(F29+G29)*(1+VLOOKUP(E29,'Tariff Rates'!B:E,3,FALSE()))</f>
        <v>37.454999999999998</v>
      </c>
      <c r="K29" s="57">
        <f>(H29*(1+'Product Catalog'!H27)-J29)/(H29*(1+'Product Catalog'!H27))</f>
        <v>0.15384615384615388</v>
      </c>
      <c r="L29" s="56">
        <f>(F29+G29)*(1+VLOOKUP(E29,'Tariff Rates'!B:E,4,FALSE()))</f>
        <v>39.157499999999992</v>
      </c>
      <c r="M29" s="57">
        <f>(H29*(1+'Product Catalog'!H27)-L29)/(H29*(1+'Product Catalog'!H27))</f>
        <v>0.11538461538461559</v>
      </c>
      <c r="N29" s="58">
        <f t="shared" si="0"/>
        <v>-0.11538461538461517</v>
      </c>
    </row>
    <row r="30" spans="2:14" x14ac:dyDescent="0.2">
      <c r="B30" s="49" t="str">
        <f>'Product Catalog'!B28</f>
        <v>SKU-1025</v>
      </c>
      <c r="C30" s="49" t="str">
        <f>'Product Catalog'!C28</f>
        <v>Sugar Snap Peas</v>
      </c>
      <c r="D30" s="49" t="str">
        <f>'Product Catalog'!D28</f>
        <v>Asian Vegetables</v>
      </c>
      <c r="E30" s="49" t="str">
        <f>'Product Catalog'!E28</f>
        <v>Guatemala</v>
      </c>
      <c r="F30" s="50">
        <f>'Product Catalog'!F28</f>
        <v>35.57</v>
      </c>
      <c r="G30" s="50">
        <f>Methodology!$C$6</f>
        <v>4.5</v>
      </c>
      <c r="H30" s="51">
        <f>(F30+G30)*(1+VLOOKUP(E30,'Tariff Rates'!B:E,2,FALSE()))</f>
        <v>40.07</v>
      </c>
      <c r="I30" s="52">
        <f>'Product Catalog'!H28/(1+'Product Catalog'!H28)</f>
        <v>0.23076923076923075</v>
      </c>
      <c r="J30" s="51">
        <f>(F30+G30)*(1+VLOOKUP(E30,'Tariff Rates'!B:E,3,FALSE()))</f>
        <v>44.077000000000005</v>
      </c>
      <c r="K30" s="52">
        <f>(H30*(1+'Product Catalog'!H28)-J30)/(H30*(1+'Product Catalog'!H28))</f>
        <v>0.15384615384615377</v>
      </c>
      <c r="L30" s="51">
        <f>(F30+G30)*(1+VLOOKUP(E30,'Tariff Rates'!B:E,4,FALSE()))</f>
        <v>46.080499999999994</v>
      </c>
      <c r="M30" s="52">
        <f>(H30*(1+'Product Catalog'!H28)-L30)/(H30*(1+'Product Catalog'!H28))</f>
        <v>0.11538461538461553</v>
      </c>
      <c r="N30" s="53">
        <f t="shared" si="0"/>
        <v>-0.11538461538461522</v>
      </c>
    </row>
    <row r="31" spans="2:14" x14ac:dyDescent="0.2">
      <c r="B31" s="54" t="str">
        <f>'Product Catalog'!B29</f>
        <v>SKU-1026</v>
      </c>
      <c r="C31" s="54" t="str">
        <f>'Product Catalog'!C29</f>
        <v>Long Beans (Yard)</v>
      </c>
      <c r="D31" s="54" t="str">
        <f>'Product Catalog'!D29</f>
        <v>Asian Vegetables</v>
      </c>
      <c r="E31" s="54" t="str">
        <f>'Product Catalog'!E29</f>
        <v>Mexico</v>
      </c>
      <c r="F31" s="55">
        <f>'Product Catalog'!F29</f>
        <v>22.69</v>
      </c>
      <c r="G31" s="55">
        <f>Methodology!$C$6</f>
        <v>4.5</v>
      </c>
      <c r="H31" s="56">
        <f>(F31+G31)*(1+VLOOKUP(E31,'Tariff Rates'!B:E,2,FALSE()))</f>
        <v>27.19</v>
      </c>
      <c r="I31" s="57">
        <f>'Product Catalog'!H29/(1+'Product Catalog'!H29)</f>
        <v>0.23076923076923075</v>
      </c>
      <c r="J31" s="56">
        <f>(F31+G31)*(1+VLOOKUP(E31,'Tariff Rates'!B:E,3,FALSE()))</f>
        <v>29.909000000000002</v>
      </c>
      <c r="K31" s="57">
        <f>(H31*(1+'Product Catalog'!H29)-J31)/(H31*(1+'Product Catalog'!H29))</f>
        <v>0.1538461538461538</v>
      </c>
      <c r="L31" s="56">
        <f>(F31+G31)*(1+VLOOKUP(E31,'Tariff Rates'!B:E,4,FALSE()))</f>
        <v>33.987500000000004</v>
      </c>
      <c r="M31" s="57">
        <f>(H31*(1+'Product Catalog'!H29)-L31)/(H31*(1+'Product Catalog'!H29))</f>
        <v>3.8461538461538373E-2</v>
      </c>
      <c r="N31" s="58">
        <f t="shared" si="0"/>
        <v>-0.19230769230769237</v>
      </c>
    </row>
    <row r="32" spans="2:14" x14ac:dyDescent="0.2">
      <c r="B32" s="49" t="str">
        <f>'Product Catalog'!B30</f>
        <v>SKU-1027</v>
      </c>
      <c r="C32" s="49" t="str">
        <f>'Product Catalog'!C30</f>
        <v>Chinese Long Beans</v>
      </c>
      <c r="D32" s="49" t="str">
        <f>'Product Catalog'!D30</f>
        <v>Asian Vegetables</v>
      </c>
      <c r="E32" s="49" t="str">
        <f>'Product Catalog'!E30</f>
        <v>China</v>
      </c>
      <c r="F32" s="50">
        <f>'Product Catalog'!F30</f>
        <v>22.74</v>
      </c>
      <c r="G32" s="50">
        <f>Methodology!$C$6</f>
        <v>4.5</v>
      </c>
      <c r="H32" s="51">
        <f>(F32+G32)*(1+VLOOKUP(E32,'Tariff Rates'!B:E,2,FALSE()))</f>
        <v>31.325999999999997</v>
      </c>
      <c r="I32" s="52">
        <f>'Product Catalog'!H30/(1+'Product Catalog'!H30)</f>
        <v>0.23076923076923075</v>
      </c>
      <c r="J32" s="51">
        <f>(F32+G32)*(1+VLOOKUP(E32,'Tariff Rates'!B:E,3,FALSE()))</f>
        <v>35.411999999999999</v>
      </c>
      <c r="K32" s="52">
        <f>(H32*(1+'Product Catalog'!H30)-J32)/(H32*(1+'Product Catalog'!H30))</f>
        <v>0.13043478260869562</v>
      </c>
      <c r="L32" s="51">
        <f>(F32+G32)*(1+VLOOKUP(E32,'Tariff Rates'!B:E,4,FALSE()))</f>
        <v>40.86</v>
      </c>
      <c r="M32" s="52">
        <f>(H32*(1+'Product Catalog'!H30)-L32)/(H32*(1+'Product Catalog'!H30))</f>
        <v>-3.3444816053512278E-3</v>
      </c>
      <c r="N32" s="53">
        <f t="shared" si="0"/>
        <v>-0.23411371237458198</v>
      </c>
    </row>
    <row r="33" spans="2:14" x14ac:dyDescent="0.2">
      <c r="B33" s="54" t="str">
        <f>'Product Catalog'!B31</f>
        <v>SKU-1028</v>
      </c>
      <c r="C33" s="54" t="str">
        <f>'Product Catalog'!C31</f>
        <v>Edamame</v>
      </c>
      <c r="D33" s="54" t="str">
        <f>'Product Catalog'!D31</f>
        <v>Asian Vegetables</v>
      </c>
      <c r="E33" s="54" t="str">
        <f>'Product Catalog'!E31</f>
        <v>China</v>
      </c>
      <c r="F33" s="55">
        <f>'Product Catalog'!F31</f>
        <v>18.77</v>
      </c>
      <c r="G33" s="55">
        <f>Methodology!$C$6</f>
        <v>4.5</v>
      </c>
      <c r="H33" s="56">
        <f>(F33+G33)*(1+VLOOKUP(E33,'Tariff Rates'!B:E,2,FALSE()))</f>
        <v>26.760499999999997</v>
      </c>
      <c r="I33" s="57">
        <f>'Product Catalog'!H31/(1+'Product Catalog'!H31)</f>
        <v>0.23076923076923075</v>
      </c>
      <c r="J33" s="56">
        <f>(F33+G33)*(1+VLOOKUP(E33,'Tariff Rates'!B:E,3,FALSE()))</f>
        <v>30.251000000000001</v>
      </c>
      <c r="K33" s="57">
        <f>(H33*(1+'Product Catalog'!H31)-J33)/(H33*(1+'Product Catalog'!H31))</f>
        <v>0.13043478260869554</v>
      </c>
      <c r="L33" s="56">
        <f>(F33+G33)*(1+VLOOKUP(E33,'Tariff Rates'!B:E,4,FALSE()))</f>
        <v>34.905000000000001</v>
      </c>
      <c r="M33" s="57">
        <f>(H33*(1+'Product Catalog'!H31)-L33)/(H33*(1+'Product Catalog'!H31))</f>
        <v>-3.3444816053512906E-3</v>
      </c>
      <c r="N33" s="58">
        <f t="shared" si="0"/>
        <v>-0.23411371237458203</v>
      </c>
    </row>
    <row r="34" spans="2:14" x14ac:dyDescent="0.2">
      <c r="B34" s="49" t="str">
        <f>'Product Catalog'!B32</f>
        <v>SKU-1029</v>
      </c>
      <c r="C34" s="49" t="str">
        <f>'Product Catalog'!C32</f>
        <v>Taiwanese Bok Choy</v>
      </c>
      <c r="D34" s="49" t="str">
        <f>'Product Catalog'!D32</f>
        <v>Asian Vegetables</v>
      </c>
      <c r="E34" s="49" t="str">
        <f>'Product Catalog'!E32</f>
        <v>China</v>
      </c>
      <c r="F34" s="50">
        <f>'Product Catalog'!F32</f>
        <v>21.08</v>
      </c>
      <c r="G34" s="50">
        <f>Methodology!$C$6</f>
        <v>4.5</v>
      </c>
      <c r="H34" s="51">
        <f>(F34+G34)*(1+VLOOKUP(E34,'Tariff Rates'!B:E,2,FALSE()))</f>
        <v>29.416999999999994</v>
      </c>
      <c r="I34" s="52">
        <f>'Product Catalog'!H32/(1+'Product Catalog'!H32)</f>
        <v>0.23076923076923075</v>
      </c>
      <c r="J34" s="51">
        <f>(F34+G34)*(1+VLOOKUP(E34,'Tariff Rates'!B:E,3,FALSE()))</f>
        <v>33.253999999999998</v>
      </c>
      <c r="K34" s="52">
        <f>(H34*(1+'Product Catalog'!H32)-J34)/(H34*(1+'Product Catalog'!H32))</f>
        <v>0.13043478260869557</v>
      </c>
      <c r="L34" s="51">
        <f>(F34+G34)*(1+VLOOKUP(E34,'Tariff Rates'!B:E,4,FALSE()))</f>
        <v>38.369999999999997</v>
      </c>
      <c r="M34" s="52">
        <f>(H34*(1+'Product Catalog'!H32)-L34)/(H34*(1+'Product Catalog'!H32))</f>
        <v>-3.3444816053512733E-3</v>
      </c>
      <c r="N34" s="53">
        <f t="shared" si="0"/>
        <v>-0.23411371237458203</v>
      </c>
    </row>
    <row r="35" spans="2:14" x14ac:dyDescent="0.2">
      <c r="B35" s="54" t="str">
        <f>'Product Catalog'!B33</f>
        <v>SKU-1030</v>
      </c>
      <c r="C35" s="54" t="str">
        <f>'Product Catalog'!C33</f>
        <v>Tatsoi</v>
      </c>
      <c r="D35" s="54" t="str">
        <f>'Product Catalog'!D33</f>
        <v>Asian Vegetables</v>
      </c>
      <c r="E35" s="54" t="str">
        <f>'Product Catalog'!E33</f>
        <v>USA</v>
      </c>
      <c r="F35" s="55">
        <f>'Product Catalog'!F33</f>
        <v>24.83</v>
      </c>
      <c r="G35" s="55">
        <f>Methodology!$C$6</f>
        <v>4.5</v>
      </c>
      <c r="H35" s="56">
        <f>(F35+G35)*(1+VLOOKUP(E35,'Tariff Rates'!B:E,2,FALSE()))</f>
        <v>29.33</v>
      </c>
      <c r="I35" s="57">
        <f>'Product Catalog'!H33/(1+'Product Catalog'!H33)</f>
        <v>0.23076923076923075</v>
      </c>
      <c r="J35" s="56">
        <f>(F35+G35)*(1+VLOOKUP(E35,'Tariff Rates'!B:E,3,FALSE()))</f>
        <v>29.33</v>
      </c>
      <c r="K35" s="57">
        <f>(H35*(1+'Product Catalog'!H33)-J35)/(H35*(1+'Product Catalog'!H33))</f>
        <v>0.23076923076923078</v>
      </c>
      <c r="L35" s="56">
        <f>(F35+G35)*(1+VLOOKUP(E35,'Tariff Rates'!B:E,4,FALSE()))</f>
        <v>29.33</v>
      </c>
      <c r="M35" s="57">
        <f>(H35*(1+'Product Catalog'!H33)-L35)/(H35*(1+'Product Catalog'!H33))</f>
        <v>0.23076923076923078</v>
      </c>
      <c r="N35" s="58">
        <f t="shared" si="0"/>
        <v>0</v>
      </c>
    </row>
    <row r="36" spans="2:14" x14ac:dyDescent="0.2">
      <c r="B36" s="49" t="str">
        <f>'Product Catalog'!B34</f>
        <v>SKU-1031</v>
      </c>
      <c r="C36" s="49" t="str">
        <f>'Product Catalog'!C34</f>
        <v>Taro Root</v>
      </c>
      <c r="D36" s="49" t="str">
        <f>'Product Catalog'!D34</f>
        <v>Roots &amp; Squash</v>
      </c>
      <c r="E36" s="49" t="str">
        <f>'Product Catalog'!E34</f>
        <v>Ecuador</v>
      </c>
      <c r="F36" s="50">
        <f>'Product Catalog'!F34</f>
        <v>36.07</v>
      </c>
      <c r="G36" s="50">
        <f>Methodology!$C$6</f>
        <v>4.5</v>
      </c>
      <c r="H36" s="51">
        <f>(F36+G36)*(1+VLOOKUP(E36,'Tariff Rates'!B:E,2,FALSE()))</f>
        <v>42.598500000000001</v>
      </c>
      <c r="I36" s="52">
        <f>'Product Catalog'!H34/(1+'Product Catalog'!H34)</f>
        <v>0.24242424242424243</v>
      </c>
      <c r="J36" s="51">
        <f>(F36+G36)*(1+VLOOKUP(E36,'Tariff Rates'!B:E,3,FALSE()))</f>
        <v>46.655499999999996</v>
      </c>
      <c r="K36" s="52">
        <f>(H36*(1+'Product Catalog'!H34)-J36)/(H36*(1+'Product Catalog'!H34))</f>
        <v>0.17027417027417038</v>
      </c>
      <c r="L36" s="51">
        <f>(F36+G36)*(1+VLOOKUP(E36,'Tariff Rates'!B:E,4,FALSE()))</f>
        <v>48.683999999999997</v>
      </c>
      <c r="M36" s="52">
        <f>(H36*(1+'Product Catalog'!H34)-L36)/(H36*(1+'Product Catalog'!H34))</f>
        <v>0.13419913419913429</v>
      </c>
      <c r="N36" s="53">
        <f t="shared" si="0"/>
        <v>-0.10822510822510814</v>
      </c>
    </row>
    <row r="37" spans="2:14" x14ac:dyDescent="0.2">
      <c r="B37" s="54" t="str">
        <f>'Product Catalog'!B35</f>
        <v>SKU-1032</v>
      </c>
      <c r="C37" s="54" t="str">
        <f>'Product Catalog'!C35</f>
        <v>Baby Taro</v>
      </c>
      <c r="D37" s="54" t="str">
        <f>'Product Catalog'!D35</f>
        <v>Roots &amp; Squash</v>
      </c>
      <c r="E37" s="54" t="str">
        <f>'Product Catalog'!E35</f>
        <v>Ecuador</v>
      </c>
      <c r="F37" s="55">
        <f>'Product Catalog'!F35</f>
        <v>31.3</v>
      </c>
      <c r="G37" s="55">
        <f>Methodology!$C$6</f>
        <v>4.5</v>
      </c>
      <c r="H37" s="56">
        <f>(F37+G37)*(1+VLOOKUP(E37,'Tariff Rates'!B:E,2,FALSE()))</f>
        <v>37.589999999999996</v>
      </c>
      <c r="I37" s="57">
        <f>'Product Catalog'!H35/(1+'Product Catalog'!H35)</f>
        <v>0.24242424242424243</v>
      </c>
      <c r="J37" s="56">
        <f>(F37+G37)*(1+VLOOKUP(E37,'Tariff Rates'!B:E,3,FALSE()))</f>
        <v>41.169999999999995</v>
      </c>
      <c r="K37" s="57">
        <f>(H37*(1+'Product Catalog'!H35)-J37)/(H37*(1+'Product Catalog'!H35))</f>
        <v>0.17027417027417038</v>
      </c>
      <c r="L37" s="56">
        <f>(F37+G37)*(1+VLOOKUP(E37,'Tariff Rates'!B:E,4,FALSE()))</f>
        <v>42.959999999999994</v>
      </c>
      <c r="M37" s="57">
        <f>(H37*(1+'Product Catalog'!H35)-L37)/(H37*(1+'Product Catalog'!H35))</f>
        <v>0.13419913419913432</v>
      </c>
      <c r="N37" s="58">
        <f t="shared" si="0"/>
        <v>-0.10822510822510811</v>
      </c>
    </row>
    <row r="38" spans="2:14" x14ac:dyDescent="0.2">
      <c r="B38" s="49" t="str">
        <f>'Product Catalog'!B36</f>
        <v>SKU-1033</v>
      </c>
      <c r="C38" s="49" t="str">
        <f>'Product Catalog'!C36</f>
        <v>Lotus Root</v>
      </c>
      <c r="D38" s="49" t="str">
        <f>'Product Catalog'!D36</f>
        <v>Roots &amp; Squash</v>
      </c>
      <c r="E38" s="49" t="str">
        <f>'Product Catalog'!E36</f>
        <v>China</v>
      </c>
      <c r="F38" s="50">
        <f>'Product Catalog'!F36</f>
        <v>42.43</v>
      </c>
      <c r="G38" s="50">
        <f>Methodology!$C$6</f>
        <v>4.5</v>
      </c>
      <c r="H38" s="51">
        <f>(F38+G38)*(1+VLOOKUP(E38,'Tariff Rates'!B:E,2,FALSE()))</f>
        <v>53.969499999999996</v>
      </c>
      <c r="I38" s="52">
        <f>'Product Catalog'!H36/(1+'Product Catalog'!H36)</f>
        <v>0.24242424242424243</v>
      </c>
      <c r="J38" s="51">
        <f>(F38+G38)*(1+VLOOKUP(E38,'Tariff Rates'!B:E,3,FALSE()))</f>
        <v>61.009</v>
      </c>
      <c r="K38" s="52">
        <f>(H38*(1+'Product Catalog'!H36)-J38)/(H38*(1+'Product Catalog'!H36))</f>
        <v>0.14361001317523053</v>
      </c>
      <c r="L38" s="51">
        <f>(F38+G38)*(1+VLOOKUP(E38,'Tariff Rates'!B:E,4,FALSE()))</f>
        <v>70.394999999999996</v>
      </c>
      <c r="M38" s="52">
        <f>(H38*(1+'Product Catalog'!H36)-L38)/(H38*(1+'Product Catalog'!H36))</f>
        <v>1.1857707509881446E-2</v>
      </c>
      <c r="N38" s="53">
        <f t="shared" si="0"/>
        <v>-0.23056653491436099</v>
      </c>
    </row>
    <row r="39" spans="2:14" x14ac:dyDescent="0.2">
      <c r="B39" s="54" t="str">
        <f>'Product Catalog'!B37</f>
        <v>SKU-1034</v>
      </c>
      <c r="C39" s="54" t="str">
        <f>'Product Catalog'!C37</f>
        <v>Water Chestnuts (Fresh)</v>
      </c>
      <c r="D39" s="54" t="str">
        <f>'Product Catalog'!D37</f>
        <v>Roots &amp; Squash</v>
      </c>
      <c r="E39" s="54" t="str">
        <f>'Product Catalog'!E37</f>
        <v>China</v>
      </c>
      <c r="F39" s="55">
        <f>'Product Catalog'!F37</f>
        <v>54.65</v>
      </c>
      <c r="G39" s="55">
        <f>Methodology!$C$6</f>
        <v>4.5</v>
      </c>
      <c r="H39" s="56">
        <f>(F39+G39)*(1+VLOOKUP(E39,'Tariff Rates'!B:E,2,FALSE()))</f>
        <v>68.022499999999994</v>
      </c>
      <c r="I39" s="57">
        <f>'Product Catalog'!H37/(1+'Product Catalog'!H37)</f>
        <v>0.24242424242424243</v>
      </c>
      <c r="J39" s="56">
        <f>(F39+G39)*(1+VLOOKUP(E39,'Tariff Rates'!B:E,3,FALSE()))</f>
        <v>76.894999999999996</v>
      </c>
      <c r="K39" s="57">
        <f>(H39*(1+'Product Catalog'!H37)-J39)/(H39*(1+'Product Catalog'!H37))</f>
        <v>0.14361001317523059</v>
      </c>
      <c r="L39" s="56">
        <f>(F39+G39)*(1+VLOOKUP(E39,'Tariff Rates'!B:E,4,FALSE()))</f>
        <v>88.724999999999994</v>
      </c>
      <c r="M39" s="57">
        <f>(H39*(1+'Product Catalog'!H37)-L39)/(H39*(1+'Product Catalog'!H37))</f>
        <v>1.1857707509881445E-2</v>
      </c>
      <c r="N39" s="58">
        <f t="shared" si="0"/>
        <v>-0.23056653491436099</v>
      </c>
    </row>
    <row r="40" spans="2:14" x14ac:dyDescent="0.2">
      <c r="B40" s="49" t="str">
        <f>'Product Catalog'!B38</f>
        <v>SKU-1035</v>
      </c>
      <c r="C40" s="49" t="str">
        <f>'Product Catalog'!C38</f>
        <v>Japanese Sweet Potato</v>
      </c>
      <c r="D40" s="49" t="str">
        <f>'Product Catalog'!D38</f>
        <v>Roots &amp; Squash</v>
      </c>
      <c r="E40" s="49" t="str">
        <f>'Product Catalog'!E38</f>
        <v>USA</v>
      </c>
      <c r="F40" s="50">
        <f>'Product Catalog'!F38</f>
        <v>25.79</v>
      </c>
      <c r="G40" s="50">
        <f>Methodology!$C$6</f>
        <v>4.5</v>
      </c>
      <c r="H40" s="51">
        <f>(F40+G40)*(1+VLOOKUP(E40,'Tariff Rates'!B:E,2,FALSE()))</f>
        <v>30.29</v>
      </c>
      <c r="I40" s="52">
        <f>'Product Catalog'!H38/(1+'Product Catalog'!H38)</f>
        <v>0.24242424242424243</v>
      </c>
      <c r="J40" s="51">
        <f>(F40+G40)*(1+VLOOKUP(E40,'Tariff Rates'!B:E,3,FALSE()))</f>
        <v>30.29</v>
      </c>
      <c r="K40" s="52">
        <f>(H40*(1+'Product Catalog'!H38)-J40)/(H40*(1+'Product Catalog'!H38))</f>
        <v>0.2424242424242424</v>
      </c>
      <c r="L40" s="51">
        <f>(F40+G40)*(1+VLOOKUP(E40,'Tariff Rates'!B:E,4,FALSE()))</f>
        <v>30.29</v>
      </c>
      <c r="M40" s="52">
        <f>(H40*(1+'Product Catalog'!H38)-L40)/(H40*(1+'Product Catalog'!H38))</f>
        <v>0.2424242424242424</v>
      </c>
      <c r="N40" s="53">
        <f t="shared" si="0"/>
        <v>0</v>
      </c>
    </row>
    <row r="41" spans="2:14" x14ac:dyDescent="0.2">
      <c r="B41" s="54" t="str">
        <f>'Product Catalog'!B39</f>
        <v>SKU-1036</v>
      </c>
      <c r="C41" s="54" t="str">
        <f>'Product Catalog'!C39</f>
        <v>Purple Yam (Ube)</v>
      </c>
      <c r="D41" s="54" t="str">
        <f>'Product Catalog'!D39</f>
        <v>Roots &amp; Squash</v>
      </c>
      <c r="E41" s="54" t="str">
        <f>'Product Catalog'!E39</f>
        <v>Philippines</v>
      </c>
      <c r="F41" s="55">
        <f>'Product Catalog'!F39</f>
        <v>36.619999999999997</v>
      </c>
      <c r="G41" s="55">
        <f>Methodology!$C$6</f>
        <v>4.5</v>
      </c>
      <c r="H41" s="56">
        <f>(F41+G41)*(1+VLOOKUP(E41,'Tariff Rates'!B:E,2,FALSE()))</f>
        <v>43.176000000000002</v>
      </c>
      <c r="I41" s="57">
        <f>'Product Catalog'!H39/(1+'Product Catalog'!H39)</f>
        <v>0.24242424242424243</v>
      </c>
      <c r="J41" s="56">
        <f>(F41+G41)*(1+VLOOKUP(E41,'Tariff Rates'!B:E,3,FALSE()))</f>
        <v>47.287999999999997</v>
      </c>
      <c r="K41" s="57">
        <f>(H41*(1+'Product Catalog'!H39)-J41)/(H41*(1+'Product Catalog'!H39))</f>
        <v>0.17027417027417044</v>
      </c>
      <c r="L41" s="56">
        <f>(F41+G41)*(1+VLOOKUP(E41,'Tariff Rates'!B:E,4,FALSE()))</f>
        <v>49.343999999999994</v>
      </c>
      <c r="M41" s="57">
        <f>(H41*(1+'Product Catalog'!H39)-L41)/(H41*(1+'Product Catalog'!H39))</f>
        <v>0.1341991341991344</v>
      </c>
      <c r="N41" s="58">
        <f t="shared" si="0"/>
        <v>-0.10822510822510803</v>
      </c>
    </row>
    <row r="42" spans="2:14" x14ac:dyDescent="0.2">
      <c r="B42" s="49" t="str">
        <f>'Product Catalog'!B40</f>
        <v>SKU-1037</v>
      </c>
      <c r="C42" s="49" t="str">
        <f>'Product Catalog'!C40</f>
        <v>Korean Sweet Potato</v>
      </c>
      <c r="D42" s="49" t="str">
        <f>'Product Catalog'!D40</f>
        <v>Roots &amp; Squash</v>
      </c>
      <c r="E42" s="49" t="str">
        <f>'Product Catalog'!E40</f>
        <v>South Korea</v>
      </c>
      <c r="F42" s="50">
        <f>'Product Catalog'!F40</f>
        <v>37.950000000000003</v>
      </c>
      <c r="G42" s="50">
        <f>Methodology!$C$6</f>
        <v>4.5</v>
      </c>
      <c r="H42" s="51">
        <f>(F42+G42)*(1+VLOOKUP(E42,'Tariff Rates'!B:E,2,FALSE()))</f>
        <v>42.45</v>
      </c>
      <c r="I42" s="52">
        <f>'Product Catalog'!H40/(1+'Product Catalog'!H40)</f>
        <v>0.24242424242424243</v>
      </c>
      <c r="J42" s="51">
        <f>(F42+G42)*(1+VLOOKUP(E42,'Tariff Rates'!B:E,3,FALSE()))</f>
        <v>46.695000000000007</v>
      </c>
      <c r="K42" s="52">
        <f>(H42*(1+'Product Catalog'!H40)-J42)/(H42*(1+'Product Catalog'!H40))</f>
        <v>0.16666666666666663</v>
      </c>
      <c r="L42" s="51">
        <f>(F42+G42)*(1+VLOOKUP(E42,'Tariff Rates'!B:E,4,FALSE()))</f>
        <v>48.817500000000003</v>
      </c>
      <c r="M42" s="52">
        <f>(H42*(1+'Product Catalog'!H40)-L42)/(H42*(1+'Product Catalog'!H40))</f>
        <v>0.12878787878787884</v>
      </c>
      <c r="N42" s="53">
        <f t="shared" si="0"/>
        <v>-0.11363636363636359</v>
      </c>
    </row>
    <row r="43" spans="2:14" x14ac:dyDescent="0.2">
      <c r="B43" s="54" t="str">
        <f>'Product Catalog'!B41</f>
        <v>SKU-1038</v>
      </c>
      <c r="C43" s="54" t="str">
        <f>'Product Catalog'!C41</f>
        <v>Kabocha Squash</v>
      </c>
      <c r="D43" s="54" t="str">
        <f>'Product Catalog'!D41</f>
        <v>Roots &amp; Squash</v>
      </c>
      <c r="E43" s="54" t="str">
        <f>'Product Catalog'!E41</f>
        <v>Mexico</v>
      </c>
      <c r="F43" s="55">
        <f>'Product Catalog'!F41</f>
        <v>23.95</v>
      </c>
      <c r="G43" s="55">
        <f>Methodology!$C$6</f>
        <v>4.5</v>
      </c>
      <c r="H43" s="56">
        <f>(F43+G43)*(1+VLOOKUP(E43,'Tariff Rates'!B:E,2,FALSE()))</f>
        <v>28.45</v>
      </c>
      <c r="I43" s="57">
        <f>'Product Catalog'!H41/(1+'Product Catalog'!H41)</f>
        <v>0.24242424242424243</v>
      </c>
      <c r="J43" s="56">
        <f>(F43+G43)*(1+VLOOKUP(E43,'Tariff Rates'!B:E,3,FALSE()))</f>
        <v>31.295000000000002</v>
      </c>
      <c r="K43" s="57">
        <f>(H43*(1+'Product Catalog'!H41)-J43)/(H43*(1+'Product Catalog'!H41))</f>
        <v>0.16666666666666666</v>
      </c>
      <c r="L43" s="56">
        <f>(F43+G43)*(1+VLOOKUP(E43,'Tariff Rates'!B:E,4,FALSE()))</f>
        <v>35.5625</v>
      </c>
      <c r="M43" s="57">
        <f>(H43*(1+'Product Catalog'!H41)-L43)/(H43*(1+'Product Catalog'!H41))</f>
        <v>5.303030303030308E-2</v>
      </c>
      <c r="N43" s="58">
        <f t="shared" si="0"/>
        <v>-0.18939393939393934</v>
      </c>
    </row>
    <row r="44" spans="2:14" x14ac:dyDescent="0.2">
      <c r="B44" s="49" t="str">
        <f>'Product Catalog'!B42</f>
        <v>SKU-1039</v>
      </c>
      <c r="C44" s="49" t="str">
        <f>'Product Catalog'!C42</f>
        <v>Butternut Squash</v>
      </c>
      <c r="D44" s="49" t="str">
        <f>'Product Catalog'!D42</f>
        <v>Roots &amp; Squash</v>
      </c>
      <c r="E44" s="49" t="str">
        <f>'Product Catalog'!E42</f>
        <v>USA</v>
      </c>
      <c r="F44" s="50">
        <f>'Product Catalog'!F42</f>
        <v>20.03</v>
      </c>
      <c r="G44" s="50">
        <f>Methodology!$C$6</f>
        <v>4.5</v>
      </c>
      <c r="H44" s="51">
        <f>(F44+G44)*(1+VLOOKUP(E44,'Tariff Rates'!B:E,2,FALSE()))</f>
        <v>24.53</v>
      </c>
      <c r="I44" s="52">
        <f>'Product Catalog'!H42/(1+'Product Catalog'!H42)</f>
        <v>0.24242424242424243</v>
      </c>
      <c r="J44" s="51">
        <f>(F44+G44)*(1+VLOOKUP(E44,'Tariff Rates'!B:E,3,FALSE()))</f>
        <v>24.53</v>
      </c>
      <c r="K44" s="52">
        <f>(H44*(1+'Product Catalog'!H42)-J44)/(H44*(1+'Product Catalog'!H42))</f>
        <v>0.24242424242424246</v>
      </c>
      <c r="L44" s="51">
        <f>(F44+G44)*(1+VLOOKUP(E44,'Tariff Rates'!B:E,4,FALSE()))</f>
        <v>24.53</v>
      </c>
      <c r="M44" s="52">
        <f>(H44*(1+'Product Catalog'!H42)-L44)/(H44*(1+'Product Catalog'!H42))</f>
        <v>0.24242424242424246</v>
      </c>
      <c r="N44" s="53">
        <f t="shared" si="0"/>
        <v>0</v>
      </c>
    </row>
    <row r="45" spans="2:14" x14ac:dyDescent="0.2">
      <c r="B45" s="54" t="str">
        <f>'Product Catalog'!B43</f>
        <v>SKU-1040</v>
      </c>
      <c r="C45" s="54" t="str">
        <f>'Product Catalog'!C43</f>
        <v>Acorn Squash</v>
      </c>
      <c r="D45" s="54" t="str">
        <f>'Product Catalog'!D43</f>
        <v>Roots &amp; Squash</v>
      </c>
      <c r="E45" s="54" t="str">
        <f>'Product Catalog'!E43</f>
        <v>USA</v>
      </c>
      <c r="F45" s="55">
        <f>'Product Catalog'!F43</f>
        <v>16.46</v>
      </c>
      <c r="G45" s="55">
        <f>Methodology!$C$6</f>
        <v>4.5</v>
      </c>
      <c r="H45" s="56">
        <f>(F45+G45)*(1+VLOOKUP(E45,'Tariff Rates'!B:E,2,FALSE()))</f>
        <v>20.96</v>
      </c>
      <c r="I45" s="57">
        <f>'Product Catalog'!H43/(1+'Product Catalog'!H43)</f>
        <v>0.24242424242424243</v>
      </c>
      <c r="J45" s="56">
        <f>(F45+G45)*(1+VLOOKUP(E45,'Tariff Rates'!B:E,3,FALSE()))</f>
        <v>20.96</v>
      </c>
      <c r="K45" s="57">
        <f>(H45*(1+'Product Catalog'!H43)-J45)/(H45*(1+'Product Catalog'!H43))</f>
        <v>0.24242424242424243</v>
      </c>
      <c r="L45" s="56">
        <f>(F45+G45)*(1+VLOOKUP(E45,'Tariff Rates'!B:E,4,FALSE()))</f>
        <v>20.96</v>
      </c>
      <c r="M45" s="57">
        <f>(H45*(1+'Product Catalog'!H43)-L45)/(H45*(1+'Product Catalog'!H43))</f>
        <v>0.24242424242424243</v>
      </c>
      <c r="N45" s="58">
        <f t="shared" si="0"/>
        <v>0</v>
      </c>
    </row>
    <row r="46" spans="2:14" x14ac:dyDescent="0.2">
      <c r="B46" s="49" t="str">
        <f>'Product Catalog'!B44</f>
        <v>SKU-1041</v>
      </c>
      <c r="C46" s="49" t="str">
        <f>'Product Catalog'!C44</f>
        <v>Spaghetti Squash</v>
      </c>
      <c r="D46" s="49" t="str">
        <f>'Product Catalog'!D44</f>
        <v>Roots &amp; Squash</v>
      </c>
      <c r="E46" s="49" t="str">
        <f>'Product Catalog'!E44</f>
        <v>USA</v>
      </c>
      <c r="F46" s="50">
        <f>'Product Catalog'!F44</f>
        <v>16.23</v>
      </c>
      <c r="G46" s="50">
        <f>Methodology!$C$6</f>
        <v>4.5</v>
      </c>
      <c r="H46" s="51">
        <f>(F46+G46)*(1+VLOOKUP(E46,'Tariff Rates'!B:E,2,FALSE()))</f>
        <v>20.73</v>
      </c>
      <c r="I46" s="52">
        <f>'Product Catalog'!H44/(1+'Product Catalog'!H44)</f>
        <v>0.24242424242424243</v>
      </c>
      <c r="J46" s="51">
        <f>(F46+G46)*(1+VLOOKUP(E46,'Tariff Rates'!B:E,3,FALSE()))</f>
        <v>20.73</v>
      </c>
      <c r="K46" s="52">
        <f>(H46*(1+'Product Catalog'!H44)-J46)/(H46*(1+'Product Catalog'!H44))</f>
        <v>0.24242424242424246</v>
      </c>
      <c r="L46" s="51">
        <f>(F46+G46)*(1+VLOOKUP(E46,'Tariff Rates'!B:E,4,FALSE()))</f>
        <v>20.73</v>
      </c>
      <c r="M46" s="52">
        <f>(H46*(1+'Product Catalog'!H44)-L46)/(H46*(1+'Product Catalog'!H44))</f>
        <v>0.24242424242424246</v>
      </c>
      <c r="N46" s="53">
        <f t="shared" si="0"/>
        <v>0</v>
      </c>
    </row>
    <row r="47" spans="2:14" x14ac:dyDescent="0.2">
      <c r="B47" s="54" t="str">
        <f>'Product Catalog'!B45</f>
        <v>SKU-1042</v>
      </c>
      <c r="C47" s="54" t="str">
        <f>'Product Catalog'!C45</f>
        <v>Delicata Squash</v>
      </c>
      <c r="D47" s="54" t="str">
        <f>'Product Catalog'!D45</f>
        <v>Roots &amp; Squash</v>
      </c>
      <c r="E47" s="54" t="str">
        <f>'Product Catalog'!E45</f>
        <v>USA</v>
      </c>
      <c r="F47" s="55">
        <f>'Product Catalog'!F45</f>
        <v>16.27</v>
      </c>
      <c r="G47" s="55">
        <f>Methodology!$C$6</f>
        <v>4.5</v>
      </c>
      <c r="H47" s="56">
        <f>(F47+G47)*(1+VLOOKUP(E47,'Tariff Rates'!B:E,2,FALSE()))</f>
        <v>20.77</v>
      </c>
      <c r="I47" s="57">
        <f>'Product Catalog'!H45/(1+'Product Catalog'!H45)</f>
        <v>0.24242424242424243</v>
      </c>
      <c r="J47" s="56">
        <f>(F47+G47)*(1+VLOOKUP(E47,'Tariff Rates'!B:E,3,FALSE()))</f>
        <v>20.77</v>
      </c>
      <c r="K47" s="57">
        <f>(H47*(1+'Product Catalog'!H45)-J47)/(H47*(1+'Product Catalog'!H45))</f>
        <v>0.24242424242424243</v>
      </c>
      <c r="L47" s="56">
        <f>(F47+G47)*(1+VLOOKUP(E47,'Tariff Rates'!B:E,4,FALSE()))</f>
        <v>20.77</v>
      </c>
      <c r="M47" s="57">
        <f>(H47*(1+'Product Catalog'!H45)-L47)/(H47*(1+'Product Catalog'!H45))</f>
        <v>0.24242424242424243</v>
      </c>
      <c r="N47" s="58">
        <f t="shared" si="0"/>
        <v>0</v>
      </c>
    </row>
    <row r="48" spans="2:14" x14ac:dyDescent="0.2">
      <c r="B48" s="49" t="str">
        <f>'Product Catalog'!B46</f>
        <v>SKU-1043</v>
      </c>
      <c r="C48" s="49" t="str">
        <f>'Product Catalog'!C46</f>
        <v>Honeynut Squash</v>
      </c>
      <c r="D48" s="49" t="str">
        <f>'Product Catalog'!D46</f>
        <v>Roots &amp; Squash</v>
      </c>
      <c r="E48" s="49" t="str">
        <f>'Product Catalog'!E46</f>
        <v>USA</v>
      </c>
      <c r="F48" s="50">
        <f>'Product Catalog'!F46</f>
        <v>19.82</v>
      </c>
      <c r="G48" s="50">
        <f>Methodology!$C$6</f>
        <v>4.5</v>
      </c>
      <c r="H48" s="51">
        <f>(F48+G48)*(1+VLOOKUP(E48,'Tariff Rates'!B:E,2,FALSE()))</f>
        <v>24.32</v>
      </c>
      <c r="I48" s="52">
        <f>'Product Catalog'!H46/(1+'Product Catalog'!H46)</f>
        <v>0.24242424242424243</v>
      </c>
      <c r="J48" s="51">
        <f>(F48+G48)*(1+VLOOKUP(E48,'Tariff Rates'!B:E,3,FALSE()))</f>
        <v>24.32</v>
      </c>
      <c r="K48" s="52">
        <f>(H48*(1+'Product Catalog'!H46)-J48)/(H48*(1+'Product Catalog'!H46))</f>
        <v>0.24242424242424249</v>
      </c>
      <c r="L48" s="51">
        <f>(F48+G48)*(1+VLOOKUP(E48,'Tariff Rates'!B:E,4,FALSE()))</f>
        <v>24.32</v>
      </c>
      <c r="M48" s="52">
        <f>(H48*(1+'Product Catalog'!H46)-L48)/(H48*(1+'Product Catalog'!H46))</f>
        <v>0.24242424242424249</v>
      </c>
      <c r="N48" s="53">
        <f t="shared" si="0"/>
        <v>0</v>
      </c>
    </row>
    <row r="49" spans="2:14" x14ac:dyDescent="0.2">
      <c r="B49" s="54" t="str">
        <f>'Product Catalog'!B47</f>
        <v>SKU-1044</v>
      </c>
      <c r="C49" s="54" t="str">
        <f>'Product Catalog'!C47</f>
        <v>Red Kuri Squash</v>
      </c>
      <c r="D49" s="54" t="str">
        <f>'Product Catalog'!D47</f>
        <v>Roots &amp; Squash</v>
      </c>
      <c r="E49" s="54" t="str">
        <f>'Product Catalog'!E47</f>
        <v>USA</v>
      </c>
      <c r="F49" s="55">
        <f>'Product Catalog'!F47</f>
        <v>19.03</v>
      </c>
      <c r="G49" s="55">
        <f>Methodology!$C$6</f>
        <v>4.5</v>
      </c>
      <c r="H49" s="56">
        <f>(F49+G49)*(1+VLOOKUP(E49,'Tariff Rates'!B:E,2,FALSE()))</f>
        <v>23.53</v>
      </c>
      <c r="I49" s="57">
        <f>'Product Catalog'!H47/(1+'Product Catalog'!H47)</f>
        <v>0.24242424242424243</v>
      </c>
      <c r="J49" s="56">
        <f>(F49+G49)*(1+VLOOKUP(E49,'Tariff Rates'!B:E,3,FALSE()))</f>
        <v>23.53</v>
      </c>
      <c r="K49" s="57">
        <f>(H49*(1+'Product Catalog'!H47)-J49)/(H49*(1+'Product Catalog'!H47))</f>
        <v>0.24242424242424246</v>
      </c>
      <c r="L49" s="56">
        <f>(F49+G49)*(1+VLOOKUP(E49,'Tariff Rates'!B:E,4,FALSE()))</f>
        <v>23.53</v>
      </c>
      <c r="M49" s="57">
        <f>(H49*(1+'Product Catalog'!H47)-L49)/(H49*(1+'Product Catalog'!H47))</f>
        <v>0.24242424242424246</v>
      </c>
      <c r="N49" s="58">
        <f t="shared" si="0"/>
        <v>0</v>
      </c>
    </row>
    <row r="50" spans="2:14" x14ac:dyDescent="0.2">
      <c r="B50" s="49" t="str">
        <f>'Product Catalog'!B48</f>
        <v>SKU-1045</v>
      </c>
      <c r="C50" s="49" t="str">
        <f>'Product Catalog'!C48</f>
        <v>Jicama</v>
      </c>
      <c r="D50" s="49" t="str">
        <f>'Product Catalog'!D48</f>
        <v>Roots &amp; Squash</v>
      </c>
      <c r="E50" s="49" t="str">
        <f>'Product Catalog'!E48</f>
        <v>Mexico</v>
      </c>
      <c r="F50" s="50">
        <f>'Product Catalog'!F48</f>
        <v>13.56</v>
      </c>
      <c r="G50" s="50">
        <f>Methodology!$C$6</f>
        <v>4.5</v>
      </c>
      <c r="H50" s="51">
        <f>(F50+G50)*(1+VLOOKUP(E50,'Tariff Rates'!B:E,2,FALSE()))</f>
        <v>18.060000000000002</v>
      </c>
      <c r="I50" s="52">
        <f>'Product Catalog'!H48/(1+'Product Catalog'!H48)</f>
        <v>0.24242424242424243</v>
      </c>
      <c r="J50" s="51">
        <f>(F50+G50)*(1+VLOOKUP(E50,'Tariff Rates'!B:E,3,FALSE()))</f>
        <v>19.866000000000003</v>
      </c>
      <c r="K50" s="52">
        <f>(H50*(1+'Product Catalog'!H48)-J50)/(H50*(1+'Product Catalog'!H48))</f>
        <v>0.16666666666666671</v>
      </c>
      <c r="L50" s="51">
        <f>(F50+G50)*(1+VLOOKUP(E50,'Tariff Rates'!B:E,4,FALSE()))</f>
        <v>22.575000000000003</v>
      </c>
      <c r="M50" s="52">
        <f>(H50*(1+'Product Catalog'!H48)-L50)/(H50*(1+'Product Catalog'!H48))</f>
        <v>5.3030303030303122E-2</v>
      </c>
      <c r="N50" s="53">
        <f t="shared" si="0"/>
        <v>-0.18939393939393931</v>
      </c>
    </row>
    <row r="51" spans="2:14" x14ac:dyDescent="0.2">
      <c r="B51" s="54" t="str">
        <f>'Product Catalog'!B49</f>
        <v>SKU-1046</v>
      </c>
      <c r="C51" s="54" t="str">
        <f>'Product Catalog'!C49</f>
        <v>Yuca (Cassava)</v>
      </c>
      <c r="D51" s="54" t="str">
        <f>'Product Catalog'!D49</f>
        <v>Roots &amp; Squash</v>
      </c>
      <c r="E51" s="54" t="str">
        <f>'Product Catalog'!E49</f>
        <v>Costa Rica</v>
      </c>
      <c r="F51" s="55">
        <f>'Product Catalog'!F49</f>
        <v>17.86</v>
      </c>
      <c r="G51" s="55">
        <f>Methodology!$C$6</f>
        <v>4.5</v>
      </c>
      <c r="H51" s="56">
        <f>(F51+G51)*(1+VLOOKUP(E51,'Tariff Rates'!B:E,2,FALSE()))</f>
        <v>22.36</v>
      </c>
      <c r="I51" s="57">
        <f>'Product Catalog'!H49/(1+'Product Catalog'!H49)</f>
        <v>0.24242424242424243</v>
      </c>
      <c r="J51" s="56">
        <f>(F51+G51)*(1+VLOOKUP(E51,'Tariff Rates'!B:E,3,FALSE()))</f>
        <v>24.596</v>
      </c>
      <c r="K51" s="57">
        <f>(H51*(1+'Product Catalog'!H49)-J51)/(H51*(1+'Product Catalog'!H49))</f>
        <v>0.16666666666666666</v>
      </c>
      <c r="L51" s="56">
        <f>(F51+G51)*(1+VLOOKUP(E51,'Tariff Rates'!B:E,4,FALSE()))</f>
        <v>25.713999999999999</v>
      </c>
      <c r="M51" s="57">
        <f>(H51*(1+'Product Catalog'!H49)-L51)/(H51*(1+'Product Catalog'!H49))</f>
        <v>0.12878787878787884</v>
      </c>
      <c r="N51" s="58">
        <f t="shared" si="0"/>
        <v>-0.11363636363636359</v>
      </c>
    </row>
    <row r="52" spans="2:14" x14ac:dyDescent="0.2">
      <c r="B52" s="49" t="str">
        <f>'Product Catalog'!B50</f>
        <v>SKU-1047</v>
      </c>
      <c r="C52" s="49" t="str">
        <f>'Product Catalog'!C50</f>
        <v>Malanga</v>
      </c>
      <c r="D52" s="49" t="str">
        <f>'Product Catalog'!D50</f>
        <v>Roots &amp; Squash</v>
      </c>
      <c r="E52" s="49" t="str">
        <f>'Product Catalog'!E50</f>
        <v>Ecuador</v>
      </c>
      <c r="F52" s="50">
        <f>'Product Catalog'!F50</f>
        <v>23.01</v>
      </c>
      <c r="G52" s="50">
        <f>Methodology!$C$6</f>
        <v>4.5</v>
      </c>
      <c r="H52" s="51">
        <f>(F52+G52)*(1+VLOOKUP(E52,'Tariff Rates'!B:E,2,FALSE()))</f>
        <v>28.885500000000004</v>
      </c>
      <c r="I52" s="52">
        <f>'Product Catalog'!H50/(1+'Product Catalog'!H50)</f>
        <v>0.24242424242424243</v>
      </c>
      <c r="J52" s="51">
        <f>(F52+G52)*(1+VLOOKUP(E52,'Tariff Rates'!B:E,3,FALSE()))</f>
        <v>31.636499999999998</v>
      </c>
      <c r="K52" s="52">
        <f>(H52*(1+'Product Catalog'!H50)-J52)/(H52*(1+'Product Catalog'!H50))</f>
        <v>0.17027417027417055</v>
      </c>
      <c r="L52" s="51">
        <f>(F52+G52)*(1+VLOOKUP(E52,'Tariff Rates'!B:E,4,FALSE()))</f>
        <v>33.012</v>
      </c>
      <c r="M52" s="52">
        <f>(H52*(1+'Product Catalog'!H50)-L52)/(H52*(1+'Product Catalog'!H50))</f>
        <v>0.13419913419913443</v>
      </c>
      <c r="N52" s="53">
        <f t="shared" si="0"/>
        <v>-0.108225108225108</v>
      </c>
    </row>
    <row r="53" spans="2:14" x14ac:dyDescent="0.2">
      <c r="B53" s="54" t="str">
        <f>'Product Catalog'!B51</f>
        <v>SKU-1048</v>
      </c>
      <c r="C53" s="54" t="str">
        <f>'Product Catalog'!C51</f>
        <v>Fresh Ginger</v>
      </c>
      <c r="D53" s="54" t="str">
        <f>'Product Catalog'!D51</f>
        <v>Ginger &amp; Spices</v>
      </c>
      <c r="E53" s="54" t="str">
        <f>'Product Catalog'!E51</f>
        <v>China</v>
      </c>
      <c r="F53" s="55">
        <f>'Product Catalog'!F51</f>
        <v>35.340000000000003</v>
      </c>
      <c r="G53" s="55">
        <f>Methodology!$C$6</f>
        <v>4.5</v>
      </c>
      <c r="H53" s="56">
        <f>(F53+G53)*(1+VLOOKUP(E53,'Tariff Rates'!B:E,2,FALSE()))</f>
        <v>45.816000000000003</v>
      </c>
      <c r="I53" s="57">
        <f>'Product Catalog'!H51/(1+'Product Catalog'!H51)</f>
        <v>0.27536231884057971</v>
      </c>
      <c r="J53" s="56">
        <f>(F53+G53)*(1+VLOOKUP(E53,'Tariff Rates'!B:E,3,FALSE()))</f>
        <v>51.792000000000009</v>
      </c>
      <c r="K53" s="57">
        <f>(H53*(1+'Product Catalog'!H51)-J53)/(H53*(1+'Product Catalog'!H51))</f>
        <v>0.18084436042848123</v>
      </c>
      <c r="L53" s="56">
        <f>(F53+G53)*(1+VLOOKUP(E53,'Tariff Rates'!B:E,4,FALSE()))</f>
        <v>59.760000000000005</v>
      </c>
      <c r="M53" s="57">
        <f>(H53*(1+'Product Catalog'!H51)-L53)/(H53*(1+'Product Catalog'!H51))</f>
        <v>5.4820415879016871E-2</v>
      </c>
      <c r="N53" s="58">
        <f t="shared" si="0"/>
        <v>-0.22054190296156284</v>
      </c>
    </row>
    <row r="54" spans="2:14" x14ac:dyDescent="0.2">
      <c r="B54" s="49" t="str">
        <f>'Product Catalog'!B52</f>
        <v>SKU-1049</v>
      </c>
      <c r="C54" s="49" t="str">
        <f>'Product Catalog'!C52</f>
        <v>Young Ginger</v>
      </c>
      <c r="D54" s="49" t="str">
        <f>'Product Catalog'!D52</f>
        <v>Ginger &amp; Spices</v>
      </c>
      <c r="E54" s="49" t="str">
        <f>'Product Catalog'!E52</f>
        <v>Thailand</v>
      </c>
      <c r="F54" s="50">
        <f>'Product Catalog'!F52</f>
        <v>48.9</v>
      </c>
      <c r="G54" s="50">
        <f>Methodology!$C$6</f>
        <v>4.5</v>
      </c>
      <c r="H54" s="51">
        <f>(F54+G54)*(1+VLOOKUP(E54,'Tariff Rates'!B:E,2,FALSE()))</f>
        <v>56.07</v>
      </c>
      <c r="I54" s="52">
        <f>'Product Catalog'!H52/(1+'Product Catalog'!H52)</f>
        <v>0.27536231884057971</v>
      </c>
      <c r="J54" s="51">
        <f>(F54+G54)*(1+VLOOKUP(E54,'Tariff Rates'!B:E,3,FALSE()))</f>
        <v>61.41</v>
      </c>
      <c r="K54" s="52">
        <f>(H54*(1+'Product Catalog'!H52)-J54)/(H54*(1+'Product Catalog'!H52))</f>
        <v>0.20634920634920637</v>
      </c>
      <c r="L54" s="51">
        <f>(F54+G54)*(1+VLOOKUP(E54,'Tariff Rates'!B:E,4,FALSE()))</f>
        <v>66.75</v>
      </c>
      <c r="M54" s="52">
        <f>(H54*(1+'Product Catalog'!H52)-L54)/(H54*(1+'Product Catalog'!H52))</f>
        <v>0.13733609385783294</v>
      </c>
      <c r="N54" s="53">
        <f t="shared" si="0"/>
        <v>-0.13802622498274678</v>
      </c>
    </row>
    <row r="55" spans="2:14" x14ac:dyDescent="0.2">
      <c r="B55" s="54" t="str">
        <f>'Product Catalog'!B53</f>
        <v>SKU-1050</v>
      </c>
      <c r="C55" s="54" t="str">
        <f>'Product Catalog'!C53</f>
        <v>Turmeric Root</v>
      </c>
      <c r="D55" s="54" t="str">
        <f>'Product Catalog'!D53</f>
        <v>Ginger &amp; Spices</v>
      </c>
      <c r="E55" s="54" t="str">
        <f>'Product Catalog'!E53</f>
        <v>Peru</v>
      </c>
      <c r="F55" s="55">
        <f>'Product Catalog'!F53</f>
        <v>53.11</v>
      </c>
      <c r="G55" s="55">
        <f>Methodology!$C$6</f>
        <v>4.5</v>
      </c>
      <c r="H55" s="56">
        <f>(F55+G55)*(1+VLOOKUP(E55,'Tariff Rates'!B:E,2,FALSE()))</f>
        <v>57.61</v>
      </c>
      <c r="I55" s="57">
        <f>'Product Catalog'!H53/(1+'Product Catalog'!H53)</f>
        <v>0.27536231884057971</v>
      </c>
      <c r="J55" s="56">
        <f>(F55+G55)*(1+VLOOKUP(E55,'Tariff Rates'!B:E,3,FALSE()))</f>
        <v>63.371000000000002</v>
      </c>
      <c r="K55" s="57">
        <f>(H55*(1+'Product Catalog'!H53)-J55)/(H55*(1+'Product Catalog'!H53))</f>
        <v>0.20289855072463753</v>
      </c>
      <c r="L55" s="56">
        <f>(F55+G55)*(1+VLOOKUP(E55,'Tariff Rates'!B:E,4,FALSE()))</f>
        <v>66.251499999999993</v>
      </c>
      <c r="M55" s="57">
        <f>(H55*(1+'Product Catalog'!H53)-L55)/(H55*(1+'Product Catalog'!H53))</f>
        <v>0.16666666666666663</v>
      </c>
      <c r="N55" s="58">
        <f t="shared" si="0"/>
        <v>-0.10869565217391308</v>
      </c>
    </row>
    <row r="56" spans="2:14" x14ac:dyDescent="0.2">
      <c r="B56" s="49" t="str">
        <f>'Product Catalog'!B54</f>
        <v>SKU-1051</v>
      </c>
      <c r="C56" s="49" t="str">
        <f>'Product Catalog'!C54</f>
        <v>Galangal</v>
      </c>
      <c r="D56" s="49" t="str">
        <f>'Product Catalog'!D54</f>
        <v>Ginger &amp; Spices</v>
      </c>
      <c r="E56" s="49" t="str">
        <f>'Product Catalog'!E54</f>
        <v>Thailand</v>
      </c>
      <c r="F56" s="50">
        <f>'Product Catalog'!F54</f>
        <v>42.44</v>
      </c>
      <c r="G56" s="50">
        <f>Methodology!$C$6</f>
        <v>4.5</v>
      </c>
      <c r="H56" s="51">
        <f>(F56+G56)*(1+VLOOKUP(E56,'Tariff Rates'!B:E,2,FALSE()))</f>
        <v>49.286999999999999</v>
      </c>
      <c r="I56" s="52">
        <f>'Product Catalog'!H54/(1+'Product Catalog'!H54)</f>
        <v>0.27536231884057971</v>
      </c>
      <c r="J56" s="51">
        <f>(F56+G56)*(1+VLOOKUP(E56,'Tariff Rates'!B:E,3,FALSE()))</f>
        <v>53.980999999999995</v>
      </c>
      <c r="K56" s="52">
        <f>(H56*(1+'Product Catalog'!H54)-J56)/(H56*(1+'Product Catalog'!H54))</f>
        <v>0.20634920634920639</v>
      </c>
      <c r="L56" s="51">
        <f>(F56+G56)*(1+VLOOKUP(E56,'Tariff Rates'!B:E,4,FALSE()))</f>
        <v>58.674999999999997</v>
      </c>
      <c r="M56" s="52">
        <f>(H56*(1+'Product Catalog'!H54)-L56)/(H56*(1+'Product Catalog'!H54))</f>
        <v>0.13733609385783299</v>
      </c>
      <c r="N56" s="53">
        <f t="shared" si="0"/>
        <v>-0.13802622498274672</v>
      </c>
    </row>
    <row r="57" spans="2:14" x14ac:dyDescent="0.2">
      <c r="B57" s="54" t="str">
        <f>'Product Catalog'!B55</f>
        <v>SKU-1052</v>
      </c>
      <c r="C57" s="54" t="str">
        <f>'Product Catalog'!C55</f>
        <v>Lemongrass</v>
      </c>
      <c r="D57" s="54" t="str">
        <f>'Product Catalog'!D55</f>
        <v>Ginger &amp; Spices</v>
      </c>
      <c r="E57" s="54" t="str">
        <f>'Product Catalog'!E55</f>
        <v>Thailand</v>
      </c>
      <c r="F57" s="55">
        <f>'Product Catalog'!F55</f>
        <v>30.51</v>
      </c>
      <c r="G57" s="55">
        <f>Methodology!$C$6</f>
        <v>4.5</v>
      </c>
      <c r="H57" s="56">
        <f>(F57+G57)*(1+VLOOKUP(E57,'Tariff Rates'!B:E,2,FALSE()))</f>
        <v>36.760500000000008</v>
      </c>
      <c r="I57" s="57">
        <f>'Product Catalog'!H55/(1+'Product Catalog'!H55)</f>
        <v>0.27536231884057971</v>
      </c>
      <c r="J57" s="56">
        <f>(F57+G57)*(1+VLOOKUP(E57,'Tariff Rates'!B:E,3,FALSE()))</f>
        <v>40.261500000000005</v>
      </c>
      <c r="K57" s="57">
        <f>(H57*(1+'Product Catalog'!H55)-J57)/(H57*(1+'Product Catalog'!H55))</f>
        <v>0.20634920634920634</v>
      </c>
      <c r="L57" s="56">
        <f>(F57+G57)*(1+VLOOKUP(E57,'Tariff Rates'!B:E,4,FALSE()))</f>
        <v>43.762500000000003</v>
      </c>
      <c r="M57" s="57">
        <f>(H57*(1+'Product Catalog'!H55)-L57)/(H57*(1+'Product Catalog'!H55))</f>
        <v>0.13733609385783302</v>
      </c>
      <c r="N57" s="58">
        <f t="shared" si="0"/>
        <v>-0.13802622498274669</v>
      </c>
    </row>
    <row r="58" spans="2:14" x14ac:dyDescent="0.2">
      <c r="B58" s="49" t="str">
        <f>'Product Catalog'!B56</f>
        <v>SKU-1053</v>
      </c>
      <c r="C58" s="49" t="str">
        <f>'Product Catalog'!C56</f>
        <v>Kaffir Lime Leaves</v>
      </c>
      <c r="D58" s="49" t="str">
        <f>'Product Catalog'!D56</f>
        <v>Ginger &amp; Spices</v>
      </c>
      <c r="E58" s="49" t="str">
        <f>'Product Catalog'!E56</f>
        <v>Thailand</v>
      </c>
      <c r="F58" s="50">
        <f>'Product Catalog'!F56</f>
        <v>66.67</v>
      </c>
      <c r="G58" s="50">
        <f>Methodology!$C$6</f>
        <v>4.5</v>
      </c>
      <c r="H58" s="51">
        <f>(F58+G58)*(1+VLOOKUP(E58,'Tariff Rates'!B:E,2,FALSE()))</f>
        <v>74.728500000000011</v>
      </c>
      <c r="I58" s="52">
        <f>'Product Catalog'!H56/(1+'Product Catalog'!H56)</f>
        <v>0.27536231884057971</v>
      </c>
      <c r="J58" s="51">
        <f>(F58+G58)*(1+VLOOKUP(E58,'Tariff Rates'!B:E,3,FALSE()))</f>
        <v>81.845500000000001</v>
      </c>
      <c r="K58" s="52">
        <f>(H58*(1+'Product Catalog'!H56)-J58)/(H58*(1+'Product Catalog'!H56))</f>
        <v>0.20634920634920637</v>
      </c>
      <c r="L58" s="51">
        <f>(F58+G58)*(1+VLOOKUP(E58,'Tariff Rates'!B:E,4,FALSE()))</f>
        <v>88.962500000000006</v>
      </c>
      <c r="M58" s="52">
        <f>(H58*(1+'Product Catalog'!H56)-L58)/(H58*(1+'Product Catalog'!H56))</f>
        <v>0.13733609385783296</v>
      </c>
      <c r="N58" s="53">
        <f t="shared" si="0"/>
        <v>-0.13802622498274675</v>
      </c>
    </row>
    <row r="59" spans="2:14" x14ac:dyDescent="0.2">
      <c r="B59" s="54" t="str">
        <f>'Product Catalog'!B57</f>
        <v>SKU-1054</v>
      </c>
      <c r="C59" s="54" t="str">
        <f>'Product Catalog'!C57</f>
        <v>Thai Bird Chili</v>
      </c>
      <c r="D59" s="54" t="str">
        <f>'Product Catalog'!D57</f>
        <v>Ginger &amp; Spices</v>
      </c>
      <c r="E59" s="54" t="str">
        <f>'Product Catalog'!E57</f>
        <v>Thailand</v>
      </c>
      <c r="F59" s="55">
        <f>'Product Catalog'!F57</f>
        <v>56.99</v>
      </c>
      <c r="G59" s="55">
        <f>Methodology!$C$6</f>
        <v>4.5</v>
      </c>
      <c r="H59" s="56">
        <f>(F59+G59)*(1+VLOOKUP(E59,'Tariff Rates'!B:E,2,FALSE()))</f>
        <v>64.56450000000001</v>
      </c>
      <c r="I59" s="57">
        <f>'Product Catalog'!H57/(1+'Product Catalog'!H57)</f>
        <v>0.27536231884057971</v>
      </c>
      <c r="J59" s="56">
        <f>(F59+G59)*(1+VLOOKUP(E59,'Tariff Rates'!B:E,3,FALSE()))</f>
        <v>70.713499999999996</v>
      </c>
      <c r="K59" s="57">
        <f>(H59*(1+'Product Catalog'!H57)-J59)/(H59*(1+'Product Catalog'!H57))</f>
        <v>0.20634920634920645</v>
      </c>
      <c r="L59" s="56">
        <f>(F59+G59)*(1+VLOOKUP(E59,'Tariff Rates'!B:E,4,FALSE()))</f>
        <v>76.862499999999997</v>
      </c>
      <c r="M59" s="57">
        <f>(H59*(1+'Product Catalog'!H57)-L59)/(H59*(1+'Product Catalog'!H57))</f>
        <v>0.13733609385783307</v>
      </c>
      <c r="N59" s="58">
        <f t="shared" si="0"/>
        <v>-0.13802622498274664</v>
      </c>
    </row>
    <row r="60" spans="2:14" x14ac:dyDescent="0.2">
      <c r="B60" s="49" t="str">
        <f>'Product Catalog'!B58</f>
        <v>SKU-1055</v>
      </c>
      <c r="C60" s="49" t="str">
        <f>'Product Catalog'!C58</f>
        <v>Serrano Chili</v>
      </c>
      <c r="D60" s="49" t="str">
        <f>'Product Catalog'!D58</f>
        <v>Ginger &amp; Spices</v>
      </c>
      <c r="E60" s="49" t="str">
        <f>'Product Catalog'!E58</f>
        <v>Mexico</v>
      </c>
      <c r="F60" s="50">
        <f>'Product Catalog'!F58</f>
        <v>21.18</v>
      </c>
      <c r="G60" s="50">
        <f>Methodology!$C$6</f>
        <v>4.5</v>
      </c>
      <c r="H60" s="51">
        <f>(F60+G60)*(1+VLOOKUP(E60,'Tariff Rates'!B:E,2,FALSE()))</f>
        <v>25.68</v>
      </c>
      <c r="I60" s="52">
        <f>'Product Catalog'!H58/(1+'Product Catalog'!H58)</f>
        <v>0.27536231884057971</v>
      </c>
      <c r="J60" s="51">
        <f>(F60+G60)*(1+VLOOKUP(E60,'Tariff Rates'!B:E,3,FALSE()))</f>
        <v>28.248000000000001</v>
      </c>
      <c r="K60" s="52">
        <f>(H60*(1+'Product Catalog'!H58)-J60)/(H60*(1+'Product Catalog'!H58))</f>
        <v>0.20289855072463753</v>
      </c>
      <c r="L60" s="51">
        <f>(F60+G60)*(1+VLOOKUP(E60,'Tariff Rates'!B:E,4,FALSE()))</f>
        <v>32.1</v>
      </c>
      <c r="M60" s="52">
        <f>(H60*(1+'Product Catalog'!H58)-L60)/(H60*(1+'Product Catalog'!H58))</f>
        <v>9.4202898550724459E-2</v>
      </c>
      <c r="N60" s="53">
        <f t="shared" si="0"/>
        <v>-0.18115942028985527</v>
      </c>
    </row>
    <row r="61" spans="2:14" x14ac:dyDescent="0.2">
      <c r="B61" s="54" t="str">
        <f>'Product Catalog'!B59</f>
        <v>SKU-1056</v>
      </c>
      <c r="C61" s="54" t="str">
        <f>'Product Catalog'!C59</f>
        <v>Jalapeño</v>
      </c>
      <c r="D61" s="54" t="str">
        <f>'Product Catalog'!D59</f>
        <v>Ginger &amp; Spices</v>
      </c>
      <c r="E61" s="54" t="str">
        <f>'Product Catalog'!E59</f>
        <v>Mexico</v>
      </c>
      <c r="F61" s="55">
        <f>'Product Catalog'!F59</f>
        <v>15.65</v>
      </c>
      <c r="G61" s="55">
        <f>Methodology!$C$6</f>
        <v>4.5</v>
      </c>
      <c r="H61" s="56">
        <f>(F61+G61)*(1+VLOOKUP(E61,'Tariff Rates'!B:E,2,FALSE()))</f>
        <v>20.149999999999999</v>
      </c>
      <c r="I61" s="57">
        <f>'Product Catalog'!H59/(1+'Product Catalog'!H59)</f>
        <v>0.27536231884057971</v>
      </c>
      <c r="J61" s="56">
        <f>(F61+G61)*(1+VLOOKUP(E61,'Tariff Rates'!B:E,3,FALSE()))</f>
        <v>22.164999999999999</v>
      </c>
      <c r="K61" s="57">
        <f>(H61*(1+'Product Catalog'!H59)-J61)/(H61*(1+'Product Catalog'!H59))</f>
        <v>0.20289855072463758</v>
      </c>
      <c r="L61" s="56">
        <f>(F61+G61)*(1+VLOOKUP(E61,'Tariff Rates'!B:E,4,FALSE()))</f>
        <v>25.1875</v>
      </c>
      <c r="M61" s="57">
        <f>(H61*(1+'Product Catalog'!H59)-L61)/(H61*(1+'Product Catalog'!H59))</f>
        <v>9.4202898550724473E-2</v>
      </c>
      <c r="N61" s="58">
        <f t="shared" si="0"/>
        <v>-0.18115942028985524</v>
      </c>
    </row>
    <row r="62" spans="2:14" x14ac:dyDescent="0.2">
      <c r="B62" s="49" t="str">
        <f>'Product Catalog'!B60</f>
        <v>SKU-1057</v>
      </c>
      <c r="C62" s="49" t="str">
        <f>'Product Catalog'!C60</f>
        <v>Habanero</v>
      </c>
      <c r="D62" s="49" t="str">
        <f>'Product Catalog'!D60</f>
        <v>Ginger &amp; Spices</v>
      </c>
      <c r="E62" s="49" t="str">
        <f>'Product Catalog'!E60</f>
        <v>Mexico</v>
      </c>
      <c r="F62" s="50">
        <f>'Product Catalog'!F60</f>
        <v>23.71</v>
      </c>
      <c r="G62" s="50">
        <f>Methodology!$C$6</f>
        <v>4.5</v>
      </c>
      <c r="H62" s="51">
        <f>(F62+G62)*(1+VLOOKUP(E62,'Tariff Rates'!B:E,2,FALSE()))</f>
        <v>28.21</v>
      </c>
      <c r="I62" s="52">
        <f>'Product Catalog'!H60/(1+'Product Catalog'!H60)</f>
        <v>0.27536231884057971</v>
      </c>
      <c r="J62" s="51">
        <f>(F62+G62)*(1+VLOOKUP(E62,'Tariff Rates'!B:E,3,FALSE()))</f>
        <v>31.031000000000002</v>
      </c>
      <c r="K62" s="52">
        <f>(H62*(1+'Product Catalog'!H60)-J62)/(H62*(1+'Product Catalog'!H60))</f>
        <v>0.20289855072463761</v>
      </c>
      <c r="L62" s="51">
        <f>(F62+G62)*(1+VLOOKUP(E62,'Tariff Rates'!B:E,4,FALSE()))</f>
        <v>35.262500000000003</v>
      </c>
      <c r="M62" s="52">
        <f>(H62*(1+'Product Catalog'!H60)-L62)/(H62*(1+'Product Catalog'!H60))</f>
        <v>9.420289855072457E-2</v>
      </c>
      <c r="N62" s="53">
        <f t="shared" si="0"/>
        <v>-0.18115942028985516</v>
      </c>
    </row>
    <row r="63" spans="2:14" x14ac:dyDescent="0.2">
      <c r="B63" s="54" t="str">
        <f>'Product Catalog'!B61</f>
        <v>SKU-1058</v>
      </c>
      <c r="C63" s="54" t="str">
        <f>'Product Catalog'!C61</f>
        <v>Poblano</v>
      </c>
      <c r="D63" s="54" t="str">
        <f>'Product Catalog'!D61</f>
        <v>Ginger &amp; Spices</v>
      </c>
      <c r="E63" s="54" t="str">
        <f>'Product Catalog'!E61</f>
        <v>Mexico</v>
      </c>
      <c r="F63" s="55">
        <f>'Product Catalog'!F61</f>
        <v>18.37</v>
      </c>
      <c r="G63" s="55">
        <f>Methodology!$C$6</f>
        <v>4.5</v>
      </c>
      <c r="H63" s="56">
        <f>(F63+G63)*(1+VLOOKUP(E63,'Tariff Rates'!B:E,2,FALSE()))</f>
        <v>22.87</v>
      </c>
      <c r="I63" s="57">
        <f>'Product Catalog'!H61/(1+'Product Catalog'!H61)</f>
        <v>0.27536231884057971</v>
      </c>
      <c r="J63" s="56">
        <f>(F63+G63)*(1+VLOOKUP(E63,'Tariff Rates'!B:E,3,FALSE()))</f>
        <v>25.157000000000004</v>
      </c>
      <c r="K63" s="57">
        <f>(H63*(1+'Product Catalog'!H61)-J63)/(H63*(1+'Product Catalog'!H61))</f>
        <v>0.2028985507246375</v>
      </c>
      <c r="L63" s="56">
        <f>(F63+G63)*(1+VLOOKUP(E63,'Tariff Rates'!B:E,4,FALSE()))</f>
        <v>28.587500000000002</v>
      </c>
      <c r="M63" s="57">
        <f>(H63*(1+'Product Catalog'!H61)-L63)/(H63*(1+'Product Catalog'!H61))</f>
        <v>9.4202898550724487E-2</v>
      </c>
      <c r="N63" s="58">
        <f t="shared" si="0"/>
        <v>-0.18115942028985521</v>
      </c>
    </row>
    <row r="64" spans="2:14" x14ac:dyDescent="0.2">
      <c r="B64" s="49" t="str">
        <f>'Product Catalog'!B62</f>
        <v>SKU-1059</v>
      </c>
      <c r="C64" s="49" t="str">
        <f>'Product Catalog'!C62</f>
        <v>Anaheim Chili</v>
      </c>
      <c r="D64" s="49" t="str">
        <f>'Product Catalog'!D62</f>
        <v>Ginger &amp; Spices</v>
      </c>
      <c r="E64" s="49" t="str">
        <f>'Product Catalog'!E62</f>
        <v>Mexico</v>
      </c>
      <c r="F64" s="50">
        <f>'Product Catalog'!F62</f>
        <v>13.98</v>
      </c>
      <c r="G64" s="50">
        <f>Methodology!$C$6</f>
        <v>4.5</v>
      </c>
      <c r="H64" s="51">
        <f>(F64+G64)*(1+VLOOKUP(E64,'Tariff Rates'!B:E,2,FALSE()))</f>
        <v>18.48</v>
      </c>
      <c r="I64" s="52">
        <f>'Product Catalog'!H62/(1+'Product Catalog'!H62)</f>
        <v>0.27536231884057971</v>
      </c>
      <c r="J64" s="51">
        <f>(F64+G64)*(1+VLOOKUP(E64,'Tariff Rates'!B:E,3,FALSE()))</f>
        <v>20.328000000000003</v>
      </c>
      <c r="K64" s="52">
        <f>(H64*(1+'Product Catalog'!H62)-J64)/(H64*(1+'Product Catalog'!H62))</f>
        <v>0.2028985507246375</v>
      </c>
      <c r="L64" s="51">
        <f>(F64+G64)*(1+VLOOKUP(E64,'Tariff Rates'!B:E,4,FALSE()))</f>
        <v>23.1</v>
      </c>
      <c r="M64" s="52">
        <f>(H64*(1+'Product Catalog'!H62)-L64)/(H64*(1+'Product Catalog'!H62))</f>
        <v>9.4202898550724515E-2</v>
      </c>
      <c r="N64" s="53">
        <f t="shared" si="0"/>
        <v>-0.18115942028985521</v>
      </c>
    </row>
    <row r="65" spans="2:14" x14ac:dyDescent="0.2">
      <c r="B65" s="54" t="str">
        <f>'Product Catalog'!B63</f>
        <v>SKU-1060</v>
      </c>
      <c r="C65" s="54" t="str">
        <f>'Product Catalog'!C63</f>
        <v>Shishito Pepper</v>
      </c>
      <c r="D65" s="54" t="str">
        <f>'Product Catalog'!D63</f>
        <v>Ginger &amp; Spices</v>
      </c>
      <c r="E65" s="54" t="str">
        <f>'Product Catalog'!E63</f>
        <v>Mexico</v>
      </c>
      <c r="F65" s="55">
        <f>'Product Catalog'!F63</f>
        <v>34.549999999999997</v>
      </c>
      <c r="G65" s="55">
        <f>Methodology!$C$6</f>
        <v>4.5</v>
      </c>
      <c r="H65" s="56">
        <f>(F65+G65)*(1+VLOOKUP(E65,'Tariff Rates'!B:E,2,FALSE()))</f>
        <v>39.049999999999997</v>
      </c>
      <c r="I65" s="57">
        <f>'Product Catalog'!H63/(1+'Product Catalog'!H63)</f>
        <v>0.27536231884057971</v>
      </c>
      <c r="J65" s="56">
        <f>(F65+G65)*(1+VLOOKUP(E65,'Tariff Rates'!B:E,3,FALSE()))</f>
        <v>42.954999999999998</v>
      </c>
      <c r="K65" s="57">
        <f>(H65*(1+'Product Catalog'!H63)-J65)/(H65*(1+'Product Catalog'!H63))</f>
        <v>0.20289855072463756</v>
      </c>
      <c r="L65" s="56">
        <f>(F65+G65)*(1+VLOOKUP(E65,'Tariff Rates'!B:E,4,FALSE()))</f>
        <v>48.8125</v>
      </c>
      <c r="M65" s="57">
        <f>(H65*(1+'Product Catalog'!H63)-L65)/(H65*(1+'Product Catalog'!H63))</f>
        <v>9.4202898550724445E-2</v>
      </c>
      <c r="N65" s="58">
        <f t="shared" si="0"/>
        <v>-0.18115942028985527</v>
      </c>
    </row>
    <row r="66" spans="2:14" x14ac:dyDescent="0.2">
      <c r="B66" s="49" t="str">
        <f>'Product Catalog'!B64</f>
        <v>SKU-1061</v>
      </c>
      <c r="C66" s="49" t="str">
        <f>'Product Catalog'!C64</f>
        <v>Garlic (Jumbo)</v>
      </c>
      <c r="D66" s="49" t="str">
        <f>'Product Catalog'!D64</f>
        <v>Ginger &amp; Spices</v>
      </c>
      <c r="E66" s="49" t="str">
        <f>'Product Catalog'!E64</f>
        <v>China</v>
      </c>
      <c r="F66" s="50">
        <f>'Product Catalog'!F64</f>
        <v>47.86</v>
      </c>
      <c r="G66" s="50">
        <f>Methodology!$C$6</f>
        <v>4.5</v>
      </c>
      <c r="H66" s="51">
        <f>(F66+G66)*(1+VLOOKUP(E66,'Tariff Rates'!B:E,2,FALSE()))</f>
        <v>60.213999999999992</v>
      </c>
      <c r="I66" s="52">
        <f>'Product Catalog'!H64/(1+'Product Catalog'!H64)</f>
        <v>0.27536231884057971</v>
      </c>
      <c r="J66" s="51">
        <f>(F66+G66)*(1+VLOOKUP(E66,'Tariff Rates'!B:E,3,FALSE()))</f>
        <v>68.067999999999998</v>
      </c>
      <c r="K66" s="52">
        <f>(H66*(1+'Product Catalog'!H64)-J66)/(H66*(1+'Product Catalog'!H64))</f>
        <v>0.18084436042848132</v>
      </c>
      <c r="L66" s="51">
        <f>(F66+G66)*(1+VLOOKUP(E66,'Tariff Rates'!B:E,4,FALSE()))</f>
        <v>78.539999999999992</v>
      </c>
      <c r="M66" s="52">
        <f>(H66*(1+'Product Catalog'!H64)-L66)/(H66*(1+'Product Catalog'!H64))</f>
        <v>5.4820415879016961E-2</v>
      </c>
      <c r="N66" s="53">
        <f t="shared" si="0"/>
        <v>-0.22054190296156276</v>
      </c>
    </row>
    <row r="67" spans="2:14" x14ac:dyDescent="0.2">
      <c r="B67" s="54" t="str">
        <f>'Product Catalog'!B65</f>
        <v>SKU-1062</v>
      </c>
      <c r="C67" s="54" t="str">
        <f>'Product Catalog'!C65</f>
        <v>Garlic (Peeled)</v>
      </c>
      <c r="D67" s="54" t="str">
        <f>'Product Catalog'!D65</f>
        <v>Ginger &amp; Spices</v>
      </c>
      <c r="E67" s="54" t="str">
        <f>'Product Catalog'!E65</f>
        <v>China</v>
      </c>
      <c r="F67" s="55">
        <f>'Product Catalog'!F65</f>
        <v>54.6</v>
      </c>
      <c r="G67" s="55">
        <f>Methodology!$C$6</f>
        <v>4.5</v>
      </c>
      <c r="H67" s="56">
        <f>(F67+G67)*(1+VLOOKUP(E67,'Tariff Rates'!B:E,2,FALSE()))</f>
        <v>67.965000000000003</v>
      </c>
      <c r="I67" s="57">
        <f>'Product Catalog'!H65/(1+'Product Catalog'!H65)</f>
        <v>0.27536231884057971</v>
      </c>
      <c r="J67" s="56">
        <f>(F67+G67)*(1+VLOOKUP(E67,'Tariff Rates'!B:E,3,FALSE()))</f>
        <v>76.83</v>
      </c>
      <c r="K67" s="57">
        <f>(H67*(1+'Product Catalog'!H65)-J67)/(H67*(1+'Product Catalog'!H65))</f>
        <v>0.18084436042848134</v>
      </c>
      <c r="L67" s="56">
        <f>(F67+G67)*(1+VLOOKUP(E67,'Tariff Rates'!B:E,4,FALSE()))</f>
        <v>88.65</v>
      </c>
      <c r="M67" s="57">
        <f>(H67*(1+'Product Catalog'!H65)-L67)/(H67*(1+'Product Catalog'!H65))</f>
        <v>5.4820415879016871E-2</v>
      </c>
      <c r="N67" s="58">
        <f t="shared" si="0"/>
        <v>-0.22054190296156284</v>
      </c>
    </row>
    <row r="68" spans="2:14" x14ac:dyDescent="0.2">
      <c r="B68" s="49" t="str">
        <f>'Product Catalog'!B66</f>
        <v>SKU-1063</v>
      </c>
      <c r="C68" s="49" t="str">
        <f>'Product Catalog'!C66</f>
        <v>Garlic (Elephant)</v>
      </c>
      <c r="D68" s="49" t="str">
        <f>'Product Catalog'!D66</f>
        <v>Ginger &amp; Spices</v>
      </c>
      <c r="E68" s="49" t="str">
        <f>'Product Catalog'!E66</f>
        <v>USA</v>
      </c>
      <c r="F68" s="50">
        <f>'Product Catalog'!F66</f>
        <v>49.24</v>
      </c>
      <c r="G68" s="50">
        <f>Methodology!$C$6</f>
        <v>4.5</v>
      </c>
      <c r="H68" s="51">
        <f>(F68+G68)*(1+VLOOKUP(E68,'Tariff Rates'!B:E,2,FALSE()))</f>
        <v>53.74</v>
      </c>
      <c r="I68" s="52">
        <f>'Product Catalog'!H66/(1+'Product Catalog'!H66)</f>
        <v>0.27536231884057971</v>
      </c>
      <c r="J68" s="51">
        <f>(F68+G68)*(1+VLOOKUP(E68,'Tariff Rates'!B:E,3,FALSE()))</f>
        <v>53.74</v>
      </c>
      <c r="K68" s="52">
        <f>(H68*(1+'Product Catalog'!H66)-J68)/(H68*(1+'Product Catalog'!H66))</f>
        <v>0.2753623188405796</v>
      </c>
      <c r="L68" s="51">
        <f>(F68+G68)*(1+VLOOKUP(E68,'Tariff Rates'!B:E,4,FALSE()))</f>
        <v>53.74</v>
      </c>
      <c r="M68" s="52">
        <f>(H68*(1+'Product Catalog'!H66)-L68)/(H68*(1+'Product Catalog'!H66))</f>
        <v>0.2753623188405796</v>
      </c>
      <c r="N68" s="53">
        <f t="shared" si="0"/>
        <v>0</v>
      </c>
    </row>
    <row r="69" spans="2:14" x14ac:dyDescent="0.2">
      <c r="B69" s="54" t="str">
        <f>'Product Catalog'!B67</f>
        <v>SKU-1064</v>
      </c>
      <c r="C69" s="54" t="str">
        <f>'Product Catalog'!C67</f>
        <v>Shallots</v>
      </c>
      <c r="D69" s="54" t="str">
        <f>'Product Catalog'!D67</f>
        <v>Ginger &amp; Spices</v>
      </c>
      <c r="E69" s="54" t="str">
        <f>'Product Catalog'!E67</f>
        <v>USA</v>
      </c>
      <c r="F69" s="55">
        <f>'Product Catalog'!F67</f>
        <v>34.85</v>
      </c>
      <c r="G69" s="55">
        <f>Methodology!$C$6</f>
        <v>4.5</v>
      </c>
      <c r="H69" s="56">
        <f>(F69+G69)*(1+VLOOKUP(E69,'Tariff Rates'!B:E,2,FALSE()))</f>
        <v>39.35</v>
      </c>
      <c r="I69" s="57">
        <f>'Product Catalog'!H67/(1+'Product Catalog'!H67)</f>
        <v>0.27536231884057971</v>
      </c>
      <c r="J69" s="56">
        <f>(F69+G69)*(1+VLOOKUP(E69,'Tariff Rates'!B:E,3,FALSE()))</f>
        <v>39.35</v>
      </c>
      <c r="K69" s="57">
        <f>(H69*(1+'Product Catalog'!H67)-J69)/(H69*(1+'Product Catalog'!H67))</f>
        <v>0.27536231884057966</v>
      </c>
      <c r="L69" s="56">
        <f>(F69+G69)*(1+VLOOKUP(E69,'Tariff Rates'!B:E,4,FALSE()))</f>
        <v>39.35</v>
      </c>
      <c r="M69" s="57">
        <f>(H69*(1+'Product Catalog'!H67)-L69)/(H69*(1+'Product Catalog'!H67))</f>
        <v>0.27536231884057966</v>
      </c>
      <c r="N69" s="58">
        <f t="shared" si="0"/>
        <v>0</v>
      </c>
    </row>
    <row r="70" spans="2:14" x14ac:dyDescent="0.2">
      <c r="B70" s="49" t="str">
        <f>'Product Catalog'!B68</f>
        <v>SKU-1065</v>
      </c>
      <c r="C70" s="49" t="str">
        <f>'Product Catalog'!C68</f>
        <v>French Shallots</v>
      </c>
      <c r="D70" s="49" t="str">
        <f>'Product Catalog'!D68</f>
        <v>Ginger &amp; Spices</v>
      </c>
      <c r="E70" s="49" t="str">
        <f>'Product Catalog'!E68</f>
        <v>France</v>
      </c>
      <c r="F70" s="50">
        <f>'Product Catalog'!F68</f>
        <v>62.33</v>
      </c>
      <c r="G70" s="50">
        <f>Methodology!$C$6</f>
        <v>4.5</v>
      </c>
      <c r="H70" s="51">
        <f>(F70+G70)*(1+VLOOKUP(E70,'Tariff Rates'!B:E,2,FALSE()))</f>
        <v>70.171499999999995</v>
      </c>
      <c r="I70" s="52">
        <f>'Product Catalog'!H68/(1+'Product Catalog'!H68)</f>
        <v>0.27536231884057971</v>
      </c>
      <c r="J70" s="51">
        <f>(F70+G70)*(1+VLOOKUP(E70,'Tariff Rates'!B:E,3,FALSE()))</f>
        <v>76.854499999999987</v>
      </c>
      <c r="K70" s="52">
        <f>(H70*(1+'Product Catalog'!H68)-J70)/(H70*(1+'Product Catalog'!H68))</f>
        <v>0.20634920634920634</v>
      </c>
      <c r="L70" s="51">
        <f>(F70+G70)*(1+VLOOKUP(E70,'Tariff Rates'!B:E,4,FALSE()))</f>
        <v>80.195999999999998</v>
      </c>
      <c r="M70" s="52">
        <f>(H70*(1+'Product Catalog'!H68)-L70)/(H70*(1+'Product Catalog'!H68))</f>
        <v>0.17184265010351954</v>
      </c>
      <c r="N70" s="53">
        <f t="shared" ref="N70:N133" si="1">M70-I70</f>
        <v>-0.10351966873706017</v>
      </c>
    </row>
    <row r="71" spans="2:14" x14ac:dyDescent="0.2">
      <c r="B71" s="54" t="str">
        <f>'Product Catalog'!B69</f>
        <v>SKU-1066</v>
      </c>
      <c r="C71" s="54" t="str">
        <f>'Product Catalog'!C69</f>
        <v>Iceberg Lettuce</v>
      </c>
      <c r="D71" s="54" t="str">
        <f>'Product Catalog'!D69</f>
        <v>American Vegetables</v>
      </c>
      <c r="E71" s="54" t="str">
        <f>'Product Catalog'!E69</f>
        <v>USA</v>
      </c>
      <c r="F71" s="55">
        <f>'Product Catalog'!F69</f>
        <v>14.66</v>
      </c>
      <c r="G71" s="55">
        <f>Methodology!$C$6</f>
        <v>4.5</v>
      </c>
      <c r="H71" s="56">
        <f>(F71+G71)*(1+VLOOKUP(E71,'Tariff Rates'!B:E,2,FALSE()))</f>
        <v>19.16</v>
      </c>
      <c r="I71" s="57">
        <f>'Product Catalog'!H69/(1+'Product Catalog'!H69)</f>
        <v>0.21875000000000003</v>
      </c>
      <c r="J71" s="56">
        <f>(F71+G71)*(1+VLOOKUP(E71,'Tariff Rates'!B:E,3,FALSE()))</f>
        <v>19.16</v>
      </c>
      <c r="K71" s="57">
        <f>(H71*(1+'Product Catalog'!H69)-J71)/(H71*(1+'Product Catalog'!H69))</f>
        <v>0.21874999999999997</v>
      </c>
      <c r="L71" s="56">
        <f>(F71+G71)*(1+VLOOKUP(E71,'Tariff Rates'!B:E,4,FALSE()))</f>
        <v>19.16</v>
      </c>
      <c r="M71" s="57">
        <f>(H71*(1+'Product Catalog'!H69)-L71)/(H71*(1+'Product Catalog'!H69))</f>
        <v>0.21874999999999997</v>
      </c>
      <c r="N71" s="58">
        <f t="shared" si="1"/>
        <v>0</v>
      </c>
    </row>
    <row r="72" spans="2:14" x14ac:dyDescent="0.2">
      <c r="B72" s="49" t="str">
        <f>'Product Catalog'!B70</f>
        <v>SKU-1067</v>
      </c>
      <c r="C72" s="49" t="str">
        <f>'Product Catalog'!C70</f>
        <v>Romaine Hearts</v>
      </c>
      <c r="D72" s="49" t="str">
        <f>'Product Catalog'!D70</f>
        <v>American Vegetables</v>
      </c>
      <c r="E72" s="49" t="str">
        <f>'Product Catalog'!E70</f>
        <v>USA</v>
      </c>
      <c r="F72" s="50">
        <f>'Product Catalog'!F70</f>
        <v>15.83</v>
      </c>
      <c r="G72" s="50">
        <f>Methodology!$C$6</f>
        <v>4.5</v>
      </c>
      <c r="H72" s="51">
        <f>(F72+G72)*(1+VLOOKUP(E72,'Tariff Rates'!B:E,2,FALSE()))</f>
        <v>20.329999999999998</v>
      </c>
      <c r="I72" s="52">
        <f>'Product Catalog'!H70/(1+'Product Catalog'!H70)</f>
        <v>0.21875000000000003</v>
      </c>
      <c r="J72" s="51">
        <f>(F72+G72)*(1+VLOOKUP(E72,'Tariff Rates'!B:E,3,FALSE()))</f>
        <v>20.329999999999998</v>
      </c>
      <c r="K72" s="52">
        <f>(H72*(1+'Product Catalog'!H70)-J72)/(H72*(1+'Product Catalog'!H70))</f>
        <v>0.21875</v>
      </c>
      <c r="L72" s="51">
        <f>(F72+G72)*(1+VLOOKUP(E72,'Tariff Rates'!B:E,4,FALSE()))</f>
        <v>20.329999999999998</v>
      </c>
      <c r="M72" s="52">
        <f>(H72*(1+'Product Catalog'!H70)-L72)/(H72*(1+'Product Catalog'!H70))</f>
        <v>0.21875</v>
      </c>
      <c r="N72" s="53">
        <f t="shared" si="1"/>
        <v>0</v>
      </c>
    </row>
    <row r="73" spans="2:14" x14ac:dyDescent="0.2">
      <c r="B73" s="54" t="str">
        <f>'Product Catalog'!B71</f>
        <v>SKU-1068</v>
      </c>
      <c r="C73" s="54" t="str">
        <f>'Product Catalog'!C71</f>
        <v>Green Leaf Lettuce</v>
      </c>
      <c r="D73" s="54" t="str">
        <f>'Product Catalog'!D71</f>
        <v>American Vegetables</v>
      </c>
      <c r="E73" s="54" t="str">
        <f>'Product Catalog'!E71</f>
        <v>USA</v>
      </c>
      <c r="F73" s="55">
        <f>'Product Catalog'!F71</f>
        <v>12.19</v>
      </c>
      <c r="G73" s="55">
        <f>Methodology!$C$6</f>
        <v>4.5</v>
      </c>
      <c r="H73" s="56">
        <f>(F73+G73)*(1+VLOOKUP(E73,'Tariff Rates'!B:E,2,FALSE()))</f>
        <v>16.689999999999998</v>
      </c>
      <c r="I73" s="57">
        <f>'Product Catalog'!H71/(1+'Product Catalog'!H71)</f>
        <v>0.21875000000000003</v>
      </c>
      <c r="J73" s="56">
        <f>(F73+G73)*(1+VLOOKUP(E73,'Tariff Rates'!B:E,3,FALSE()))</f>
        <v>16.689999999999998</v>
      </c>
      <c r="K73" s="57">
        <f>(H73*(1+'Product Catalog'!H71)-J73)/(H73*(1+'Product Catalog'!H71))</f>
        <v>0.21875000000000008</v>
      </c>
      <c r="L73" s="56">
        <f>(F73+G73)*(1+VLOOKUP(E73,'Tariff Rates'!B:E,4,FALSE()))</f>
        <v>16.689999999999998</v>
      </c>
      <c r="M73" s="57">
        <f>(H73*(1+'Product Catalog'!H71)-L73)/(H73*(1+'Product Catalog'!H71))</f>
        <v>0.21875000000000008</v>
      </c>
      <c r="N73" s="58">
        <f t="shared" si="1"/>
        <v>0</v>
      </c>
    </row>
    <row r="74" spans="2:14" x14ac:dyDescent="0.2">
      <c r="B74" s="49" t="str">
        <f>'Product Catalog'!B72</f>
        <v>SKU-1069</v>
      </c>
      <c r="C74" s="49" t="str">
        <f>'Product Catalog'!C72</f>
        <v>Red Leaf Lettuce</v>
      </c>
      <c r="D74" s="49" t="str">
        <f>'Product Catalog'!D72</f>
        <v>American Vegetables</v>
      </c>
      <c r="E74" s="49" t="str">
        <f>'Product Catalog'!E72</f>
        <v>USA</v>
      </c>
      <c r="F74" s="50">
        <f>'Product Catalog'!F72</f>
        <v>13.89</v>
      </c>
      <c r="G74" s="50">
        <f>Methodology!$C$6</f>
        <v>4.5</v>
      </c>
      <c r="H74" s="51">
        <f>(F74+G74)*(1+VLOOKUP(E74,'Tariff Rates'!B:E,2,FALSE()))</f>
        <v>18.39</v>
      </c>
      <c r="I74" s="52">
        <f>'Product Catalog'!H72/(1+'Product Catalog'!H72)</f>
        <v>0.21875000000000003</v>
      </c>
      <c r="J74" s="51">
        <f>(F74+G74)*(1+VLOOKUP(E74,'Tariff Rates'!B:E,3,FALSE()))</f>
        <v>18.39</v>
      </c>
      <c r="K74" s="52">
        <f>(H74*(1+'Product Catalog'!H72)-J74)/(H74*(1+'Product Catalog'!H72))</f>
        <v>0.21875</v>
      </c>
      <c r="L74" s="51">
        <f>(F74+G74)*(1+VLOOKUP(E74,'Tariff Rates'!B:E,4,FALSE()))</f>
        <v>18.39</v>
      </c>
      <c r="M74" s="52">
        <f>(H74*(1+'Product Catalog'!H72)-L74)/(H74*(1+'Product Catalog'!H72))</f>
        <v>0.21875</v>
      </c>
      <c r="N74" s="53">
        <f t="shared" si="1"/>
        <v>0</v>
      </c>
    </row>
    <row r="75" spans="2:14" x14ac:dyDescent="0.2">
      <c r="B75" s="54" t="str">
        <f>'Product Catalog'!B73</f>
        <v>SKU-1070</v>
      </c>
      <c r="C75" s="54" t="str">
        <f>'Product Catalog'!C73</f>
        <v>Butter Lettuce</v>
      </c>
      <c r="D75" s="54" t="str">
        <f>'Product Catalog'!D73</f>
        <v>American Vegetables</v>
      </c>
      <c r="E75" s="54" t="str">
        <f>'Product Catalog'!E73</f>
        <v>USA</v>
      </c>
      <c r="F75" s="55">
        <f>'Product Catalog'!F73</f>
        <v>18.14</v>
      </c>
      <c r="G75" s="55">
        <f>Methodology!$C$6</f>
        <v>4.5</v>
      </c>
      <c r="H75" s="56">
        <f>(F75+G75)*(1+VLOOKUP(E75,'Tariff Rates'!B:E,2,FALSE()))</f>
        <v>22.64</v>
      </c>
      <c r="I75" s="57">
        <f>'Product Catalog'!H73/(1+'Product Catalog'!H73)</f>
        <v>0.21875000000000003</v>
      </c>
      <c r="J75" s="56">
        <f>(F75+G75)*(1+VLOOKUP(E75,'Tariff Rates'!B:E,3,FALSE()))</f>
        <v>22.64</v>
      </c>
      <c r="K75" s="57">
        <f>(H75*(1+'Product Catalog'!H73)-J75)/(H75*(1+'Product Catalog'!H73))</f>
        <v>0.21875000000000006</v>
      </c>
      <c r="L75" s="56">
        <f>(F75+G75)*(1+VLOOKUP(E75,'Tariff Rates'!B:E,4,FALSE()))</f>
        <v>22.64</v>
      </c>
      <c r="M75" s="57">
        <f>(H75*(1+'Product Catalog'!H73)-L75)/(H75*(1+'Product Catalog'!H73))</f>
        <v>0.21875000000000006</v>
      </c>
      <c r="N75" s="58">
        <f t="shared" si="1"/>
        <v>0</v>
      </c>
    </row>
    <row r="76" spans="2:14" x14ac:dyDescent="0.2">
      <c r="B76" s="49" t="str">
        <f>'Product Catalog'!B74</f>
        <v>SKU-1071</v>
      </c>
      <c r="C76" s="49" t="str">
        <f>'Product Catalog'!C74</f>
        <v>Baby Spinach</v>
      </c>
      <c r="D76" s="49" t="str">
        <f>'Product Catalog'!D74</f>
        <v>American Vegetables</v>
      </c>
      <c r="E76" s="49" t="str">
        <f>'Product Catalog'!E74</f>
        <v>USA</v>
      </c>
      <c r="F76" s="50">
        <f>'Product Catalog'!F74</f>
        <v>19.690000000000001</v>
      </c>
      <c r="G76" s="50">
        <f>Methodology!$C$6</f>
        <v>4.5</v>
      </c>
      <c r="H76" s="51">
        <f>(F76+G76)*(1+VLOOKUP(E76,'Tariff Rates'!B:E,2,FALSE()))</f>
        <v>24.19</v>
      </c>
      <c r="I76" s="52">
        <f>'Product Catalog'!H74/(1+'Product Catalog'!H74)</f>
        <v>0.21875000000000003</v>
      </c>
      <c r="J76" s="51">
        <f>(F76+G76)*(1+VLOOKUP(E76,'Tariff Rates'!B:E,3,FALSE()))</f>
        <v>24.19</v>
      </c>
      <c r="K76" s="52">
        <f>(H76*(1+'Product Catalog'!H74)-J76)/(H76*(1+'Product Catalog'!H74))</f>
        <v>0.21875000000000006</v>
      </c>
      <c r="L76" s="51">
        <f>(F76+G76)*(1+VLOOKUP(E76,'Tariff Rates'!B:E,4,FALSE()))</f>
        <v>24.19</v>
      </c>
      <c r="M76" s="52">
        <f>(H76*(1+'Product Catalog'!H74)-L76)/(H76*(1+'Product Catalog'!H74))</f>
        <v>0.21875000000000006</v>
      </c>
      <c r="N76" s="53">
        <f t="shared" si="1"/>
        <v>0</v>
      </c>
    </row>
    <row r="77" spans="2:14" x14ac:dyDescent="0.2">
      <c r="B77" s="54" t="str">
        <f>'Product Catalog'!B75</f>
        <v>SKU-1072</v>
      </c>
      <c r="C77" s="54" t="str">
        <f>'Product Catalog'!C75</f>
        <v>Kale (Curly)</v>
      </c>
      <c r="D77" s="54" t="str">
        <f>'Product Catalog'!D75</f>
        <v>American Vegetables</v>
      </c>
      <c r="E77" s="54" t="str">
        <f>'Product Catalog'!E75</f>
        <v>USA</v>
      </c>
      <c r="F77" s="55">
        <f>'Product Catalog'!F75</f>
        <v>19.66</v>
      </c>
      <c r="G77" s="55">
        <f>Methodology!$C$6</f>
        <v>4.5</v>
      </c>
      <c r="H77" s="56">
        <f>(F77+G77)*(1+VLOOKUP(E77,'Tariff Rates'!B:E,2,FALSE()))</f>
        <v>24.16</v>
      </c>
      <c r="I77" s="57">
        <f>'Product Catalog'!H75/(1+'Product Catalog'!H75)</f>
        <v>0.21875000000000003</v>
      </c>
      <c r="J77" s="56">
        <f>(F77+G77)*(1+VLOOKUP(E77,'Tariff Rates'!B:E,3,FALSE()))</f>
        <v>24.16</v>
      </c>
      <c r="K77" s="57">
        <f>(H77*(1+'Product Catalog'!H75)-J77)/(H77*(1+'Product Catalog'!H75))</f>
        <v>0.21875000000000003</v>
      </c>
      <c r="L77" s="56">
        <f>(F77+G77)*(1+VLOOKUP(E77,'Tariff Rates'!B:E,4,FALSE()))</f>
        <v>24.16</v>
      </c>
      <c r="M77" s="57">
        <f>(H77*(1+'Product Catalog'!H75)-L77)/(H77*(1+'Product Catalog'!H75))</f>
        <v>0.21875000000000003</v>
      </c>
      <c r="N77" s="58">
        <f t="shared" si="1"/>
        <v>0</v>
      </c>
    </row>
    <row r="78" spans="2:14" x14ac:dyDescent="0.2">
      <c r="B78" s="49" t="str">
        <f>'Product Catalog'!B76</f>
        <v>SKU-1073</v>
      </c>
      <c r="C78" s="49" t="str">
        <f>'Product Catalog'!C76</f>
        <v>Kale (Lacinato)</v>
      </c>
      <c r="D78" s="49" t="str">
        <f>'Product Catalog'!D76</f>
        <v>American Vegetables</v>
      </c>
      <c r="E78" s="49" t="str">
        <f>'Product Catalog'!E76</f>
        <v>USA</v>
      </c>
      <c r="F78" s="50">
        <f>'Product Catalog'!F76</f>
        <v>21.13</v>
      </c>
      <c r="G78" s="50">
        <f>Methodology!$C$6</f>
        <v>4.5</v>
      </c>
      <c r="H78" s="51">
        <f>(F78+G78)*(1+VLOOKUP(E78,'Tariff Rates'!B:E,2,FALSE()))</f>
        <v>25.63</v>
      </c>
      <c r="I78" s="52">
        <f>'Product Catalog'!H76/(1+'Product Catalog'!H76)</f>
        <v>0.21875000000000003</v>
      </c>
      <c r="J78" s="51">
        <f>(F78+G78)*(1+VLOOKUP(E78,'Tariff Rates'!B:E,3,FALSE()))</f>
        <v>25.63</v>
      </c>
      <c r="K78" s="52">
        <f>(H78*(1+'Product Catalog'!H76)-J78)/(H78*(1+'Product Catalog'!H76))</f>
        <v>0.21874999999999994</v>
      </c>
      <c r="L78" s="51">
        <f>(F78+G78)*(1+VLOOKUP(E78,'Tariff Rates'!B:E,4,FALSE()))</f>
        <v>25.63</v>
      </c>
      <c r="M78" s="52">
        <f>(H78*(1+'Product Catalog'!H76)-L78)/(H78*(1+'Product Catalog'!H76))</f>
        <v>0.21874999999999994</v>
      </c>
      <c r="N78" s="53">
        <f t="shared" si="1"/>
        <v>0</v>
      </c>
    </row>
    <row r="79" spans="2:14" x14ac:dyDescent="0.2">
      <c r="B79" s="54" t="str">
        <f>'Product Catalog'!B77</f>
        <v>SKU-1074</v>
      </c>
      <c r="C79" s="54" t="str">
        <f>'Product Catalog'!C77</f>
        <v>Arugula</v>
      </c>
      <c r="D79" s="54" t="str">
        <f>'Product Catalog'!D77</f>
        <v>American Vegetables</v>
      </c>
      <c r="E79" s="54" t="str">
        <f>'Product Catalog'!E77</f>
        <v>USA</v>
      </c>
      <c r="F79" s="55">
        <f>'Product Catalog'!F77</f>
        <v>22.52</v>
      </c>
      <c r="G79" s="55">
        <f>Methodology!$C$6</f>
        <v>4.5</v>
      </c>
      <c r="H79" s="56">
        <f>(F79+G79)*(1+VLOOKUP(E79,'Tariff Rates'!B:E,2,FALSE()))</f>
        <v>27.02</v>
      </c>
      <c r="I79" s="57">
        <f>'Product Catalog'!H77/(1+'Product Catalog'!H77)</f>
        <v>0.21875000000000003</v>
      </c>
      <c r="J79" s="56">
        <f>(F79+G79)*(1+VLOOKUP(E79,'Tariff Rates'!B:E,3,FALSE()))</f>
        <v>27.02</v>
      </c>
      <c r="K79" s="57">
        <f>(H79*(1+'Product Catalog'!H77)-J79)/(H79*(1+'Product Catalog'!H77))</f>
        <v>0.21875</v>
      </c>
      <c r="L79" s="56">
        <f>(F79+G79)*(1+VLOOKUP(E79,'Tariff Rates'!B:E,4,FALSE()))</f>
        <v>27.02</v>
      </c>
      <c r="M79" s="57">
        <f>(H79*(1+'Product Catalog'!H77)-L79)/(H79*(1+'Product Catalog'!H77))</f>
        <v>0.21875</v>
      </c>
      <c r="N79" s="58">
        <f t="shared" si="1"/>
        <v>0</v>
      </c>
    </row>
    <row r="80" spans="2:14" x14ac:dyDescent="0.2">
      <c r="B80" s="49" t="str">
        <f>'Product Catalog'!B78</f>
        <v>SKU-1075</v>
      </c>
      <c r="C80" s="49" t="str">
        <f>'Product Catalog'!C78</f>
        <v>Tomatoes (Roma)</v>
      </c>
      <c r="D80" s="49" t="str">
        <f>'Product Catalog'!D78</f>
        <v>American Vegetables</v>
      </c>
      <c r="E80" s="49" t="str">
        <f>'Product Catalog'!E78</f>
        <v>Mexico</v>
      </c>
      <c r="F80" s="50">
        <f>'Product Catalog'!F78</f>
        <v>19.239999999999998</v>
      </c>
      <c r="G80" s="50">
        <f>Methodology!$C$6</f>
        <v>4.5</v>
      </c>
      <c r="H80" s="51">
        <f>(F80+G80)*(1+VLOOKUP(E80,'Tariff Rates'!B:E,2,FALSE()))</f>
        <v>23.74</v>
      </c>
      <c r="I80" s="52">
        <f>'Product Catalog'!H78/(1+'Product Catalog'!H78)</f>
        <v>0.21875000000000003</v>
      </c>
      <c r="J80" s="51">
        <f>(F80+G80)*(1+VLOOKUP(E80,'Tariff Rates'!B:E,3,FALSE()))</f>
        <v>26.114000000000001</v>
      </c>
      <c r="K80" s="52">
        <f>(H80*(1+'Product Catalog'!H78)-J80)/(H80*(1+'Product Catalog'!H78))</f>
        <v>0.14062499999999997</v>
      </c>
      <c r="L80" s="51">
        <f>(F80+G80)*(1+VLOOKUP(E80,'Tariff Rates'!B:E,4,FALSE()))</f>
        <v>29.674999999999997</v>
      </c>
      <c r="M80" s="52">
        <f>(H80*(1+'Product Catalog'!H78)-L80)/(H80*(1+'Product Catalog'!H78))</f>
        <v>2.3437500000000094E-2</v>
      </c>
      <c r="N80" s="53">
        <f t="shared" si="1"/>
        <v>-0.19531249999999994</v>
      </c>
    </row>
    <row r="81" spans="2:14" x14ac:dyDescent="0.2">
      <c r="B81" s="54" t="str">
        <f>'Product Catalog'!B79</f>
        <v>SKU-1076</v>
      </c>
      <c r="C81" s="54" t="str">
        <f>'Product Catalog'!C79</f>
        <v>Tomatoes (Beefsteak)</v>
      </c>
      <c r="D81" s="54" t="str">
        <f>'Product Catalog'!D79</f>
        <v>American Vegetables</v>
      </c>
      <c r="E81" s="54" t="str">
        <f>'Product Catalog'!E79</f>
        <v>Mexico</v>
      </c>
      <c r="F81" s="55">
        <f>'Product Catalog'!F79</f>
        <v>21.17</v>
      </c>
      <c r="G81" s="55">
        <f>Methodology!$C$6</f>
        <v>4.5</v>
      </c>
      <c r="H81" s="56">
        <f>(F81+G81)*(1+VLOOKUP(E81,'Tariff Rates'!B:E,2,FALSE()))</f>
        <v>25.67</v>
      </c>
      <c r="I81" s="57">
        <f>'Product Catalog'!H79/(1+'Product Catalog'!H79)</f>
        <v>0.21875000000000003</v>
      </c>
      <c r="J81" s="56">
        <f>(F81+G81)*(1+VLOOKUP(E81,'Tariff Rates'!B:E,3,FALSE()))</f>
        <v>28.237000000000005</v>
      </c>
      <c r="K81" s="57">
        <f>(H81*(1+'Product Catalog'!H79)-J81)/(H81*(1+'Product Catalog'!H79))</f>
        <v>0.14062499999999997</v>
      </c>
      <c r="L81" s="56">
        <f>(F81+G81)*(1+VLOOKUP(E81,'Tariff Rates'!B:E,4,FALSE()))</f>
        <v>32.087500000000006</v>
      </c>
      <c r="M81" s="57">
        <f>(H81*(1+'Product Catalog'!H79)-L81)/(H81*(1+'Product Catalog'!H79))</f>
        <v>2.3437499999999976E-2</v>
      </c>
      <c r="N81" s="58">
        <f t="shared" si="1"/>
        <v>-0.19531250000000006</v>
      </c>
    </row>
    <row r="82" spans="2:14" x14ac:dyDescent="0.2">
      <c r="B82" s="49" t="str">
        <f>'Product Catalog'!B80</f>
        <v>SKU-1077</v>
      </c>
      <c r="C82" s="49" t="str">
        <f>'Product Catalog'!C80</f>
        <v>Cherry Tomatoes</v>
      </c>
      <c r="D82" s="49" t="str">
        <f>'Product Catalog'!D80</f>
        <v>American Vegetables</v>
      </c>
      <c r="E82" s="49" t="str">
        <f>'Product Catalog'!E80</f>
        <v>Mexico</v>
      </c>
      <c r="F82" s="50">
        <f>'Product Catalog'!F80</f>
        <v>31.15</v>
      </c>
      <c r="G82" s="50">
        <f>Methodology!$C$6</f>
        <v>4.5</v>
      </c>
      <c r="H82" s="51">
        <f>(F82+G82)*(1+VLOOKUP(E82,'Tariff Rates'!B:E,2,FALSE()))</f>
        <v>35.65</v>
      </c>
      <c r="I82" s="52">
        <f>'Product Catalog'!H80/(1+'Product Catalog'!H80)</f>
        <v>0.21875000000000003</v>
      </c>
      <c r="J82" s="51">
        <f>(F82+G82)*(1+VLOOKUP(E82,'Tariff Rates'!B:E,3,FALSE()))</f>
        <v>39.215000000000003</v>
      </c>
      <c r="K82" s="52">
        <f>(H82*(1+'Product Catalog'!H80)-J82)/(H82*(1+'Product Catalog'!H80))</f>
        <v>0.14062499999999989</v>
      </c>
      <c r="L82" s="51">
        <f>(F82+G82)*(1+VLOOKUP(E82,'Tariff Rates'!B:E,4,FALSE()))</f>
        <v>44.5625</v>
      </c>
      <c r="M82" s="52">
        <f>(H82*(1+'Product Catalog'!H80)-L82)/(H82*(1+'Product Catalog'!H80))</f>
        <v>2.3437499999999955E-2</v>
      </c>
      <c r="N82" s="53">
        <f t="shared" si="1"/>
        <v>-0.19531250000000008</v>
      </c>
    </row>
    <row r="83" spans="2:14" x14ac:dyDescent="0.2">
      <c r="B83" s="54" t="str">
        <f>'Product Catalog'!B81</f>
        <v>SKU-1078</v>
      </c>
      <c r="C83" s="54" t="str">
        <f>'Product Catalog'!C81</f>
        <v>Grape Tomatoes</v>
      </c>
      <c r="D83" s="54" t="str">
        <f>'Product Catalog'!D81</f>
        <v>American Vegetables</v>
      </c>
      <c r="E83" s="54" t="str">
        <f>'Product Catalog'!E81</f>
        <v>Mexico</v>
      </c>
      <c r="F83" s="55">
        <f>'Product Catalog'!F81</f>
        <v>23.67</v>
      </c>
      <c r="G83" s="55">
        <f>Methodology!$C$6</f>
        <v>4.5</v>
      </c>
      <c r="H83" s="56">
        <f>(F83+G83)*(1+VLOOKUP(E83,'Tariff Rates'!B:E,2,FALSE()))</f>
        <v>28.17</v>
      </c>
      <c r="I83" s="57">
        <f>'Product Catalog'!H81/(1+'Product Catalog'!H81)</f>
        <v>0.21875000000000003</v>
      </c>
      <c r="J83" s="56">
        <f>(F83+G83)*(1+VLOOKUP(E83,'Tariff Rates'!B:E,3,FALSE()))</f>
        <v>30.987000000000005</v>
      </c>
      <c r="K83" s="57">
        <f>(H83*(1+'Product Catalog'!H81)-J83)/(H83*(1+'Product Catalog'!H81))</f>
        <v>0.14062499999999986</v>
      </c>
      <c r="L83" s="56">
        <f>(F83+G83)*(1+VLOOKUP(E83,'Tariff Rates'!B:E,4,FALSE()))</f>
        <v>35.212500000000006</v>
      </c>
      <c r="M83" s="57">
        <f>(H83*(1+'Product Catalog'!H81)-L83)/(H83*(1+'Product Catalog'!H81))</f>
        <v>2.3437499999999865E-2</v>
      </c>
      <c r="N83" s="58">
        <f t="shared" si="1"/>
        <v>-0.19531250000000017</v>
      </c>
    </row>
    <row r="84" spans="2:14" x14ac:dyDescent="0.2">
      <c r="B84" s="49" t="str">
        <f>'Product Catalog'!B82</f>
        <v>SKU-1079</v>
      </c>
      <c r="C84" s="49" t="str">
        <f>'Product Catalog'!C82</f>
        <v>Heirloom Tomatoes</v>
      </c>
      <c r="D84" s="49" t="str">
        <f>'Product Catalog'!D82</f>
        <v>American Vegetables</v>
      </c>
      <c r="E84" s="49" t="str">
        <f>'Product Catalog'!E82</f>
        <v>USA</v>
      </c>
      <c r="F84" s="50">
        <f>'Product Catalog'!F82</f>
        <v>35.18</v>
      </c>
      <c r="G84" s="50">
        <f>Methodology!$C$6</f>
        <v>4.5</v>
      </c>
      <c r="H84" s="51">
        <f>(F84+G84)*(1+VLOOKUP(E84,'Tariff Rates'!B:E,2,FALSE()))</f>
        <v>39.68</v>
      </c>
      <c r="I84" s="52">
        <f>'Product Catalog'!H82/(1+'Product Catalog'!H82)</f>
        <v>0.21875000000000003</v>
      </c>
      <c r="J84" s="51">
        <f>(F84+G84)*(1+VLOOKUP(E84,'Tariff Rates'!B:E,3,FALSE()))</f>
        <v>39.68</v>
      </c>
      <c r="K84" s="52">
        <f>(H84*(1+'Product Catalog'!H82)-J84)/(H84*(1+'Product Catalog'!H82))</f>
        <v>0.21874999999999997</v>
      </c>
      <c r="L84" s="51">
        <f>(F84+G84)*(1+VLOOKUP(E84,'Tariff Rates'!B:E,4,FALSE()))</f>
        <v>39.68</v>
      </c>
      <c r="M84" s="52">
        <f>(H84*(1+'Product Catalog'!H82)-L84)/(H84*(1+'Product Catalog'!H82))</f>
        <v>0.21874999999999997</v>
      </c>
      <c r="N84" s="53">
        <f t="shared" si="1"/>
        <v>0</v>
      </c>
    </row>
    <row r="85" spans="2:14" x14ac:dyDescent="0.2">
      <c r="B85" s="54" t="str">
        <f>'Product Catalog'!B83</f>
        <v>SKU-1080</v>
      </c>
      <c r="C85" s="54" t="str">
        <f>'Product Catalog'!C83</f>
        <v>Cucumber (Slicing)</v>
      </c>
      <c r="D85" s="54" t="str">
        <f>'Product Catalog'!D83</f>
        <v>American Vegetables</v>
      </c>
      <c r="E85" s="54" t="str">
        <f>'Product Catalog'!E83</f>
        <v>Mexico</v>
      </c>
      <c r="F85" s="55">
        <f>'Product Catalog'!F83</f>
        <v>13.48</v>
      </c>
      <c r="G85" s="55">
        <f>Methodology!$C$6</f>
        <v>4.5</v>
      </c>
      <c r="H85" s="56">
        <f>(F85+G85)*(1+VLOOKUP(E85,'Tariff Rates'!B:E,2,FALSE()))</f>
        <v>17.98</v>
      </c>
      <c r="I85" s="57">
        <f>'Product Catalog'!H83/(1+'Product Catalog'!H83)</f>
        <v>0.21875000000000003</v>
      </c>
      <c r="J85" s="56">
        <f>(F85+G85)*(1+VLOOKUP(E85,'Tariff Rates'!B:E,3,FALSE()))</f>
        <v>19.778000000000002</v>
      </c>
      <c r="K85" s="57">
        <f>(H85*(1+'Product Catalog'!H83)-J85)/(H85*(1+'Product Catalog'!H83))</f>
        <v>0.14062499999999997</v>
      </c>
      <c r="L85" s="56">
        <f>(F85+G85)*(1+VLOOKUP(E85,'Tariff Rates'!B:E,4,FALSE()))</f>
        <v>22.475000000000001</v>
      </c>
      <c r="M85" s="57">
        <f>(H85*(1+'Product Catalog'!H83)-L85)/(H85*(1+'Product Catalog'!H83))</f>
        <v>2.3437500000000021E-2</v>
      </c>
      <c r="N85" s="58">
        <f t="shared" si="1"/>
        <v>-0.1953125</v>
      </c>
    </row>
    <row r="86" spans="2:14" x14ac:dyDescent="0.2">
      <c r="B86" s="49" t="str">
        <f>'Product Catalog'!B84</f>
        <v>SKU-1081</v>
      </c>
      <c r="C86" s="49" t="str">
        <f>'Product Catalog'!C84</f>
        <v>English Cucumber</v>
      </c>
      <c r="D86" s="49" t="str">
        <f>'Product Catalog'!D84</f>
        <v>American Vegetables</v>
      </c>
      <c r="E86" s="49" t="str">
        <f>'Product Catalog'!E84</f>
        <v>Canada</v>
      </c>
      <c r="F86" s="50">
        <f>'Product Catalog'!F84</f>
        <v>22.49</v>
      </c>
      <c r="G86" s="50">
        <f>Methodology!$C$6</f>
        <v>4.5</v>
      </c>
      <c r="H86" s="51">
        <f>(F86+G86)*(1+VLOOKUP(E86,'Tariff Rates'!B:E,2,FALSE()))</f>
        <v>26.99</v>
      </c>
      <c r="I86" s="52">
        <f>'Product Catalog'!H84/(1+'Product Catalog'!H84)</f>
        <v>0.21875000000000003</v>
      </c>
      <c r="J86" s="51">
        <f>(F86+G86)*(1+VLOOKUP(E86,'Tariff Rates'!B:E,3,FALSE()))</f>
        <v>29.689</v>
      </c>
      <c r="K86" s="52">
        <f>(H86*(1+'Product Catalog'!H84)-J86)/(H86*(1+'Product Catalog'!H84))</f>
        <v>0.14062499999999992</v>
      </c>
      <c r="L86" s="51">
        <f>(F86+G86)*(1+VLOOKUP(E86,'Tariff Rates'!B:E,4,FALSE()))</f>
        <v>33.737499999999997</v>
      </c>
      <c r="M86" s="52">
        <f>(H86*(1+'Product Catalog'!H84)-L86)/(H86*(1+'Product Catalog'!H84))</f>
        <v>2.3437499999999986E-2</v>
      </c>
      <c r="N86" s="53">
        <f t="shared" si="1"/>
        <v>-0.19531250000000006</v>
      </c>
    </row>
    <row r="87" spans="2:14" x14ac:dyDescent="0.2">
      <c r="B87" s="54" t="str">
        <f>'Product Catalog'!B85</f>
        <v>SKU-1082</v>
      </c>
      <c r="C87" s="54" t="str">
        <f>'Product Catalog'!C85</f>
        <v>Persian Cucumber</v>
      </c>
      <c r="D87" s="54" t="str">
        <f>'Product Catalog'!D85</f>
        <v>American Vegetables</v>
      </c>
      <c r="E87" s="54" t="str">
        <f>'Product Catalog'!E85</f>
        <v>Mexico</v>
      </c>
      <c r="F87" s="55">
        <f>'Product Catalog'!F85</f>
        <v>18.100000000000001</v>
      </c>
      <c r="G87" s="55">
        <f>Methodology!$C$6</f>
        <v>4.5</v>
      </c>
      <c r="H87" s="56">
        <f>(F87+G87)*(1+VLOOKUP(E87,'Tariff Rates'!B:E,2,FALSE()))</f>
        <v>22.6</v>
      </c>
      <c r="I87" s="57">
        <f>'Product Catalog'!H85/(1+'Product Catalog'!H85)</f>
        <v>0.21875000000000003</v>
      </c>
      <c r="J87" s="56">
        <f>(F87+G87)*(1+VLOOKUP(E87,'Tariff Rates'!B:E,3,FALSE()))</f>
        <v>24.860000000000003</v>
      </c>
      <c r="K87" s="57">
        <f>(H87*(1+'Product Catalog'!H85)-J87)/(H87*(1+'Product Catalog'!H85))</f>
        <v>0.14062499999999992</v>
      </c>
      <c r="L87" s="56">
        <f>(F87+G87)*(1+VLOOKUP(E87,'Tariff Rates'!B:E,4,FALSE()))</f>
        <v>28.25</v>
      </c>
      <c r="M87" s="57">
        <f>(H87*(1+'Product Catalog'!H85)-L87)/(H87*(1+'Product Catalog'!H85))</f>
        <v>2.3437500000000028E-2</v>
      </c>
      <c r="N87" s="58">
        <f t="shared" si="1"/>
        <v>-0.1953125</v>
      </c>
    </row>
    <row r="88" spans="2:14" x14ac:dyDescent="0.2">
      <c r="B88" s="49" t="str">
        <f>'Product Catalog'!B86</f>
        <v>SKU-1083</v>
      </c>
      <c r="C88" s="49" t="str">
        <f>'Product Catalog'!C86</f>
        <v>Zucchini</v>
      </c>
      <c r="D88" s="49" t="str">
        <f>'Product Catalog'!D86</f>
        <v>American Vegetables</v>
      </c>
      <c r="E88" s="49" t="str">
        <f>'Product Catalog'!E86</f>
        <v>Mexico</v>
      </c>
      <c r="F88" s="50">
        <f>'Product Catalog'!F86</f>
        <v>17.510000000000002</v>
      </c>
      <c r="G88" s="50">
        <f>Methodology!$C$6</f>
        <v>4.5</v>
      </c>
      <c r="H88" s="51">
        <f>(F88+G88)*(1+VLOOKUP(E88,'Tariff Rates'!B:E,2,FALSE()))</f>
        <v>22.01</v>
      </c>
      <c r="I88" s="52">
        <f>'Product Catalog'!H86/(1+'Product Catalog'!H86)</f>
        <v>0.21875000000000003</v>
      </c>
      <c r="J88" s="51">
        <f>(F88+G88)*(1+VLOOKUP(E88,'Tariff Rates'!B:E,3,FALSE()))</f>
        <v>24.211000000000002</v>
      </c>
      <c r="K88" s="52">
        <f>(H88*(1+'Product Catalog'!H86)-J88)/(H88*(1+'Product Catalog'!H86))</f>
        <v>0.140625</v>
      </c>
      <c r="L88" s="51">
        <f>(F88+G88)*(1+VLOOKUP(E88,'Tariff Rates'!B:E,4,FALSE()))</f>
        <v>27.512500000000003</v>
      </c>
      <c r="M88" s="52">
        <f>(H88*(1+'Product Catalog'!H86)-L88)/(H88*(1+'Product Catalog'!H86))</f>
        <v>2.3437499999999979E-2</v>
      </c>
      <c r="N88" s="53">
        <f t="shared" si="1"/>
        <v>-0.19531250000000006</v>
      </c>
    </row>
    <row r="89" spans="2:14" x14ac:dyDescent="0.2">
      <c r="B89" s="54" t="str">
        <f>'Product Catalog'!B87</f>
        <v>SKU-1084</v>
      </c>
      <c r="C89" s="54" t="str">
        <f>'Product Catalog'!C87</f>
        <v>Yellow Squash</v>
      </c>
      <c r="D89" s="54" t="str">
        <f>'Product Catalog'!D87</f>
        <v>American Vegetables</v>
      </c>
      <c r="E89" s="54" t="str">
        <f>'Product Catalog'!E87</f>
        <v>Mexico</v>
      </c>
      <c r="F89" s="55">
        <f>'Product Catalog'!F87</f>
        <v>19.39</v>
      </c>
      <c r="G89" s="55">
        <f>Methodology!$C$6</f>
        <v>4.5</v>
      </c>
      <c r="H89" s="56">
        <f>(F89+G89)*(1+VLOOKUP(E89,'Tariff Rates'!B:E,2,FALSE()))</f>
        <v>23.89</v>
      </c>
      <c r="I89" s="57">
        <f>'Product Catalog'!H87/(1+'Product Catalog'!H87)</f>
        <v>0.21875000000000003</v>
      </c>
      <c r="J89" s="56">
        <f>(F89+G89)*(1+VLOOKUP(E89,'Tariff Rates'!B:E,3,FALSE()))</f>
        <v>26.279000000000003</v>
      </c>
      <c r="K89" s="57">
        <f>(H89*(1+'Product Catalog'!H87)-J89)/(H89*(1+'Product Catalog'!H87))</f>
        <v>0.14062499999999989</v>
      </c>
      <c r="L89" s="56">
        <f>(F89+G89)*(1+VLOOKUP(E89,'Tariff Rates'!B:E,4,FALSE()))</f>
        <v>29.862500000000001</v>
      </c>
      <c r="M89" s="57">
        <f>(H89*(1+'Product Catalog'!H87)-L89)/(H89*(1+'Product Catalog'!H87))</f>
        <v>2.3437499999999983E-2</v>
      </c>
      <c r="N89" s="58">
        <f t="shared" si="1"/>
        <v>-0.19531250000000006</v>
      </c>
    </row>
    <row r="90" spans="2:14" x14ac:dyDescent="0.2">
      <c r="B90" s="49" t="str">
        <f>'Product Catalog'!B88</f>
        <v>SKU-1085</v>
      </c>
      <c r="C90" s="49" t="str">
        <f>'Product Catalog'!C88</f>
        <v>Green Bell Pepper</v>
      </c>
      <c r="D90" s="49" t="str">
        <f>'Product Catalog'!D88</f>
        <v>American Vegetables</v>
      </c>
      <c r="E90" s="49" t="str">
        <f>'Product Catalog'!E88</f>
        <v>Mexico</v>
      </c>
      <c r="F90" s="50">
        <f>'Product Catalog'!F88</f>
        <v>16.8</v>
      </c>
      <c r="G90" s="50">
        <f>Methodology!$C$6</f>
        <v>4.5</v>
      </c>
      <c r="H90" s="51">
        <f>(F90+G90)*(1+VLOOKUP(E90,'Tariff Rates'!B:E,2,FALSE()))</f>
        <v>21.3</v>
      </c>
      <c r="I90" s="52">
        <f>'Product Catalog'!H88/(1+'Product Catalog'!H88)</f>
        <v>0.21875000000000003</v>
      </c>
      <c r="J90" s="51">
        <f>(F90+G90)*(1+VLOOKUP(E90,'Tariff Rates'!B:E,3,FALSE()))</f>
        <v>23.430000000000003</v>
      </c>
      <c r="K90" s="52">
        <f>(H90*(1+'Product Catalog'!H88)-J90)/(H90*(1+'Product Catalog'!H88))</f>
        <v>0.14062499999999997</v>
      </c>
      <c r="L90" s="51">
        <f>(F90+G90)*(1+VLOOKUP(E90,'Tariff Rates'!B:E,4,FALSE()))</f>
        <v>26.625</v>
      </c>
      <c r="M90" s="52">
        <f>(H90*(1+'Product Catalog'!H88)-L90)/(H90*(1+'Product Catalog'!H88))</f>
        <v>2.3437500000000104E-2</v>
      </c>
      <c r="N90" s="53">
        <f t="shared" si="1"/>
        <v>-0.19531249999999992</v>
      </c>
    </row>
    <row r="91" spans="2:14" x14ac:dyDescent="0.2">
      <c r="B91" s="54" t="str">
        <f>'Product Catalog'!B89</f>
        <v>SKU-1086</v>
      </c>
      <c r="C91" s="54" t="str">
        <f>'Product Catalog'!C89</f>
        <v>Red Bell Pepper</v>
      </c>
      <c r="D91" s="54" t="str">
        <f>'Product Catalog'!D89</f>
        <v>American Vegetables</v>
      </c>
      <c r="E91" s="54" t="str">
        <f>'Product Catalog'!E89</f>
        <v>Mexico</v>
      </c>
      <c r="F91" s="55">
        <f>'Product Catalog'!F89</f>
        <v>23.75</v>
      </c>
      <c r="G91" s="55">
        <f>Methodology!$C$6</f>
        <v>4.5</v>
      </c>
      <c r="H91" s="56">
        <f>(F91+G91)*(1+VLOOKUP(E91,'Tariff Rates'!B:E,2,FALSE()))</f>
        <v>28.25</v>
      </c>
      <c r="I91" s="57">
        <f>'Product Catalog'!H89/(1+'Product Catalog'!H89)</f>
        <v>0.21875000000000003</v>
      </c>
      <c r="J91" s="56">
        <f>(F91+G91)*(1+VLOOKUP(E91,'Tariff Rates'!B:E,3,FALSE()))</f>
        <v>31.075000000000003</v>
      </c>
      <c r="K91" s="57">
        <f>(H91*(1+'Product Catalog'!H89)-J91)/(H91*(1+'Product Catalog'!H89))</f>
        <v>0.140625</v>
      </c>
      <c r="L91" s="56">
        <f>(F91+G91)*(1+VLOOKUP(E91,'Tariff Rates'!B:E,4,FALSE()))</f>
        <v>35.3125</v>
      </c>
      <c r="M91" s="57">
        <f>(H91*(1+'Product Catalog'!H89)-L91)/(H91*(1+'Product Catalog'!H89))</f>
        <v>2.3437500000000101E-2</v>
      </c>
      <c r="N91" s="58">
        <f t="shared" si="1"/>
        <v>-0.19531249999999992</v>
      </c>
    </row>
    <row r="92" spans="2:14" x14ac:dyDescent="0.2">
      <c r="B92" s="49" t="str">
        <f>'Product Catalog'!B90</f>
        <v>SKU-1087</v>
      </c>
      <c r="C92" s="49" t="str">
        <f>'Product Catalog'!C90</f>
        <v>Yellow Bell Pepper</v>
      </c>
      <c r="D92" s="49" t="str">
        <f>'Product Catalog'!D90</f>
        <v>American Vegetables</v>
      </c>
      <c r="E92" s="49" t="str">
        <f>'Product Catalog'!E90</f>
        <v>Mexico</v>
      </c>
      <c r="F92" s="50">
        <f>'Product Catalog'!F90</f>
        <v>31.98</v>
      </c>
      <c r="G92" s="50">
        <f>Methodology!$C$6</f>
        <v>4.5</v>
      </c>
      <c r="H92" s="51">
        <f>(F92+G92)*(1+VLOOKUP(E92,'Tariff Rates'!B:E,2,FALSE()))</f>
        <v>36.480000000000004</v>
      </c>
      <c r="I92" s="52">
        <f>'Product Catalog'!H90/(1+'Product Catalog'!H90)</f>
        <v>0.21875000000000003</v>
      </c>
      <c r="J92" s="51">
        <f>(F92+G92)*(1+VLOOKUP(E92,'Tariff Rates'!B:E,3,FALSE()))</f>
        <v>40.128000000000007</v>
      </c>
      <c r="K92" s="52">
        <f>(H92*(1+'Product Catalog'!H90)-J92)/(H92*(1+'Product Catalog'!H90))</f>
        <v>0.140625</v>
      </c>
      <c r="L92" s="51">
        <f>(F92+G92)*(1+VLOOKUP(E92,'Tariff Rates'!B:E,4,FALSE()))</f>
        <v>45.600000000000009</v>
      </c>
      <c r="M92" s="52">
        <f>(H92*(1+'Product Catalog'!H90)-L92)/(H92*(1+'Product Catalog'!H90))</f>
        <v>2.34375E-2</v>
      </c>
      <c r="N92" s="53">
        <f t="shared" si="1"/>
        <v>-0.19531250000000003</v>
      </c>
    </row>
    <row r="93" spans="2:14" x14ac:dyDescent="0.2">
      <c r="B93" s="54" t="str">
        <f>'Product Catalog'!B91</f>
        <v>SKU-1088</v>
      </c>
      <c r="C93" s="54" t="str">
        <f>'Product Catalog'!C91</f>
        <v>Orange Bell Pepper</v>
      </c>
      <c r="D93" s="54" t="str">
        <f>'Product Catalog'!D91</f>
        <v>American Vegetables</v>
      </c>
      <c r="E93" s="54" t="str">
        <f>'Product Catalog'!E91</f>
        <v>Mexico</v>
      </c>
      <c r="F93" s="55">
        <f>'Product Catalog'!F91</f>
        <v>28.08</v>
      </c>
      <c r="G93" s="55">
        <f>Methodology!$C$6</f>
        <v>4.5</v>
      </c>
      <c r="H93" s="56">
        <f>(F93+G93)*(1+VLOOKUP(E93,'Tariff Rates'!B:E,2,FALSE()))</f>
        <v>32.58</v>
      </c>
      <c r="I93" s="57">
        <f>'Product Catalog'!H91/(1+'Product Catalog'!H91)</f>
        <v>0.21875000000000003</v>
      </c>
      <c r="J93" s="56">
        <f>(F93+G93)*(1+VLOOKUP(E93,'Tariff Rates'!B:E,3,FALSE()))</f>
        <v>35.838000000000001</v>
      </c>
      <c r="K93" s="57">
        <f>(H93*(1+'Product Catalog'!H91)-J93)/(H93*(1+'Product Catalog'!H91))</f>
        <v>0.14062499999999992</v>
      </c>
      <c r="L93" s="56">
        <f>(F93+G93)*(1+VLOOKUP(E93,'Tariff Rates'!B:E,4,FALSE()))</f>
        <v>40.724999999999994</v>
      </c>
      <c r="M93" s="57">
        <f>(H93*(1+'Product Catalog'!H91)-L93)/(H93*(1+'Product Catalog'!H91))</f>
        <v>2.3437500000000073E-2</v>
      </c>
      <c r="N93" s="58">
        <f t="shared" si="1"/>
        <v>-0.19531249999999994</v>
      </c>
    </row>
    <row r="94" spans="2:14" x14ac:dyDescent="0.2">
      <c r="B94" s="49" t="str">
        <f>'Product Catalog'!B92</f>
        <v>SKU-1089</v>
      </c>
      <c r="C94" s="49" t="str">
        <f>'Product Catalog'!C92</f>
        <v>Mini Sweet Peppers</v>
      </c>
      <c r="D94" s="49" t="str">
        <f>'Product Catalog'!D92</f>
        <v>American Vegetables</v>
      </c>
      <c r="E94" s="49" t="str">
        <f>'Product Catalog'!E92</f>
        <v>Mexico</v>
      </c>
      <c r="F94" s="50">
        <f>'Product Catalog'!F92</f>
        <v>18.73</v>
      </c>
      <c r="G94" s="50">
        <f>Methodology!$C$6</f>
        <v>4.5</v>
      </c>
      <c r="H94" s="51">
        <f>(F94+G94)*(1+VLOOKUP(E94,'Tariff Rates'!B:E,2,FALSE()))</f>
        <v>23.23</v>
      </c>
      <c r="I94" s="52">
        <f>'Product Catalog'!H92/(1+'Product Catalog'!H92)</f>
        <v>0.21875000000000003</v>
      </c>
      <c r="J94" s="51">
        <f>(F94+G94)*(1+VLOOKUP(E94,'Tariff Rates'!B:E,3,FALSE()))</f>
        <v>25.553000000000001</v>
      </c>
      <c r="K94" s="52">
        <f>(H94*(1+'Product Catalog'!H92)-J94)/(H94*(1+'Product Catalog'!H92))</f>
        <v>0.140625</v>
      </c>
      <c r="L94" s="51">
        <f>(F94+G94)*(1+VLOOKUP(E94,'Tariff Rates'!B:E,4,FALSE()))</f>
        <v>29.037500000000001</v>
      </c>
      <c r="M94" s="52">
        <f>(H94*(1+'Product Catalog'!H92)-L94)/(H94*(1+'Product Catalog'!H92))</f>
        <v>2.3437499999999979E-2</v>
      </c>
      <c r="N94" s="53">
        <f t="shared" si="1"/>
        <v>-0.19531250000000006</v>
      </c>
    </row>
    <row r="95" spans="2:14" x14ac:dyDescent="0.2">
      <c r="B95" s="54" t="str">
        <f>'Product Catalog'!B93</f>
        <v>SKU-1090</v>
      </c>
      <c r="C95" s="54" t="str">
        <f>'Product Catalog'!C93</f>
        <v>Yellow Onion</v>
      </c>
      <c r="D95" s="54" t="str">
        <f>'Product Catalog'!D93</f>
        <v>American Vegetables</v>
      </c>
      <c r="E95" s="54" t="str">
        <f>'Product Catalog'!E93</f>
        <v>USA</v>
      </c>
      <c r="F95" s="55">
        <f>'Product Catalog'!F93</f>
        <v>9.24</v>
      </c>
      <c r="G95" s="55">
        <f>Methodology!$C$6</f>
        <v>4.5</v>
      </c>
      <c r="H95" s="56">
        <f>(F95+G95)*(1+VLOOKUP(E95,'Tariff Rates'!B:E,2,FALSE()))</f>
        <v>13.74</v>
      </c>
      <c r="I95" s="57">
        <f>'Product Catalog'!H93/(1+'Product Catalog'!H93)</f>
        <v>0.21875000000000003</v>
      </c>
      <c r="J95" s="56">
        <f>(F95+G95)*(1+VLOOKUP(E95,'Tariff Rates'!B:E,3,FALSE()))</f>
        <v>13.74</v>
      </c>
      <c r="K95" s="57">
        <f>(H95*(1+'Product Catalog'!H93)-J95)/(H95*(1+'Product Catalog'!H93))</f>
        <v>0.21874999999999994</v>
      </c>
      <c r="L95" s="56">
        <f>(F95+G95)*(1+VLOOKUP(E95,'Tariff Rates'!B:E,4,FALSE()))</f>
        <v>13.74</v>
      </c>
      <c r="M95" s="57">
        <f>(H95*(1+'Product Catalog'!H93)-L95)/(H95*(1+'Product Catalog'!H93))</f>
        <v>0.21874999999999994</v>
      </c>
      <c r="N95" s="58">
        <f t="shared" si="1"/>
        <v>0</v>
      </c>
    </row>
    <row r="96" spans="2:14" x14ac:dyDescent="0.2">
      <c r="B96" s="49" t="str">
        <f>'Product Catalog'!B94</f>
        <v>SKU-1091</v>
      </c>
      <c r="C96" s="49" t="str">
        <f>'Product Catalog'!C94</f>
        <v>Red Onion</v>
      </c>
      <c r="D96" s="49" t="str">
        <f>'Product Catalog'!D94</f>
        <v>American Vegetables</v>
      </c>
      <c r="E96" s="49" t="str">
        <f>'Product Catalog'!E94</f>
        <v>USA</v>
      </c>
      <c r="F96" s="50">
        <f>'Product Catalog'!F94</f>
        <v>11.66</v>
      </c>
      <c r="G96" s="50">
        <f>Methodology!$C$6</f>
        <v>4.5</v>
      </c>
      <c r="H96" s="51">
        <f>(F96+G96)*(1+VLOOKUP(E96,'Tariff Rates'!B:E,2,FALSE()))</f>
        <v>16.16</v>
      </c>
      <c r="I96" s="52">
        <f>'Product Catalog'!H94/(1+'Product Catalog'!H94)</f>
        <v>0.21875000000000003</v>
      </c>
      <c r="J96" s="51">
        <f>(F96+G96)*(1+VLOOKUP(E96,'Tariff Rates'!B:E,3,FALSE()))</f>
        <v>16.16</v>
      </c>
      <c r="K96" s="52">
        <f>(H96*(1+'Product Catalog'!H94)-J96)/(H96*(1+'Product Catalog'!H94))</f>
        <v>0.21874999999999997</v>
      </c>
      <c r="L96" s="51">
        <f>(F96+G96)*(1+VLOOKUP(E96,'Tariff Rates'!B:E,4,FALSE()))</f>
        <v>16.16</v>
      </c>
      <c r="M96" s="52">
        <f>(H96*(1+'Product Catalog'!H94)-L96)/(H96*(1+'Product Catalog'!H94))</f>
        <v>0.21874999999999997</v>
      </c>
      <c r="N96" s="53">
        <f t="shared" si="1"/>
        <v>0</v>
      </c>
    </row>
    <row r="97" spans="2:14" x14ac:dyDescent="0.2">
      <c r="B97" s="54" t="str">
        <f>'Product Catalog'!B95</f>
        <v>SKU-1092</v>
      </c>
      <c r="C97" s="54" t="str">
        <f>'Product Catalog'!C95</f>
        <v>White Onion</v>
      </c>
      <c r="D97" s="54" t="str">
        <f>'Product Catalog'!D95</f>
        <v>American Vegetables</v>
      </c>
      <c r="E97" s="54" t="str">
        <f>'Product Catalog'!E95</f>
        <v>USA</v>
      </c>
      <c r="F97" s="55">
        <f>'Product Catalog'!F95</f>
        <v>13.14</v>
      </c>
      <c r="G97" s="55">
        <f>Methodology!$C$6</f>
        <v>4.5</v>
      </c>
      <c r="H97" s="56">
        <f>(F97+G97)*(1+VLOOKUP(E97,'Tariff Rates'!B:E,2,FALSE()))</f>
        <v>17.64</v>
      </c>
      <c r="I97" s="57">
        <f>'Product Catalog'!H95/(1+'Product Catalog'!H95)</f>
        <v>0.21875000000000003</v>
      </c>
      <c r="J97" s="56">
        <f>(F97+G97)*(1+VLOOKUP(E97,'Tariff Rates'!B:E,3,FALSE()))</f>
        <v>17.64</v>
      </c>
      <c r="K97" s="57">
        <f>(H97*(1+'Product Catalog'!H95)-J97)/(H97*(1+'Product Catalog'!H95))</f>
        <v>0.21874999999999997</v>
      </c>
      <c r="L97" s="56">
        <f>(F97+G97)*(1+VLOOKUP(E97,'Tariff Rates'!B:E,4,FALSE()))</f>
        <v>17.64</v>
      </c>
      <c r="M97" s="57">
        <f>(H97*(1+'Product Catalog'!H95)-L97)/(H97*(1+'Product Catalog'!H95))</f>
        <v>0.21874999999999997</v>
      </c>
      <c r="N97" s="58">
        <f t="shared" si="1"/>
        <v>0</v>
      </c>
    </row>
    <row r="98" spans="2:14" x14ac:dyDescent="0.2">
      <c r="B98" s="49" t="str">
        <f>'Product Catalog'!B96</f>
        <v>SKU-1093</v>
      </c>
      <c r="C98" s="49" t="str">
        <f>'Product Catalog'!C96</f>
        <v>Sweet Onion</v>
      </c>
      <c r="D98" s="49" t="str">
        <f>'Product Catalog'!D96</f>
        <v>American Vegetables</v>
      </c>
      <c r="E98" s="49" t="str">
        <f>'Product Catalog'!E96</f>
        <v>USA</v>
      </c>
      <c r="F98" s="50">
        <f>'Product Catalog'!F96</f>
        <v>18.75</v>
      </c>
      <c r="G98" s="50">
        <f>Methodology!$C$6</f>
        <v>4.5</v>
      </c>
      <c r="H98" s="51">
        <f>(F98+G98)*(1+VLOOKUP(E98,'Tariff Rates'!B:E,2,FALSE()))</f>
        <v>23.25</v>
      </c>
      <c r="I98" s="52">
        <f>'Product Catalog'!H96/(1+'Product Catalog'!H96)</f>
        <v>0.21875000000000003</v>
      </c>
      <c r="J98" s="51">
        <f>(F98+G98)*(1+VLOOKUP(E98,'Tariff Rates'!B:E,3,FALSE()))</f>
        <v>23.25</v>
      </c>
      <c r="K98" s="52">
        <f>(H98*(1+'Product Catalog'!H96)-J98)/(H98*(1+'Product Catalog'!H96))</f>
        <v>0.21875000000000003</v>
      </c>
      <c r="L98" s="51">
        <f>(F98+G98)*(1+VLOOKUP(E98,'Tariff Rates'!B:E,4,FALSE()))</f>
        <v>23.25</v>
      </c>
      <c r="M98" s="52">
        <f>(H98*(1+'Product Catalog'!H96)-L98)/(H98*(1+'Product Catalog'!H96))</f>
        <v>0.21875000000000003</v>
      </c>
      <c r="N98" s="53">
        <f t="shared" si="1"/>
        <v>0</v>
      </c>
    </row>
    <row r="99" spans="2:14" x14ac:dyDescent="0.2">
      <c r="B99" s="54" t="str">
        <f>'Product Catalog'!B97</f>
        <v>SKU-1094</v>
      </c>
      <c r="C99" s="54" t="str">
        <f>'Product Catalog'!C97</f>
        <v>Green Onion</v>
      </c>
      <c r="D99" s="54" t="str">
        <f>'Product Catalog'!D97</f>
        <v>American Vegetables</v>
      </c>
      <c r="E99" s="54" t="str">
        <f>'Product Catalog'!E97</f>
        <v>Mexico</v>
      </c>
      <c r="F99" s="55">
        <f>'Product Catalog'!F97</f>
        <v>12.53</v>
      </c>
      <c r="G99" s="55">
        <f>Methodology!$C$6</f>
        <v>4.5</v>
      </c>
      <c r="H99" s="56">
        <f>(F99+G99)*(1+VLOOKUP(E99,'Tariff Rates'!B:E,2,FALSE()))</f>
        <v>17.03</v>
      </c>
      <c r="I99" s="57">
        <f>'Product Catalog'!H97/(1+'Product Catalog'!H97)</f>
        <v>0.21875000000000003</v>
      </c>
      <c r="J99" s="56">
        <f>(F99+G99)*(1+VLOOKUP(E99,'Tariff Rates'!B:E,3,FALSE()))</f>
        <v>18.733000000000004</v>
      </c>
      <c r="K99" s="57">
        <f>(H99*(1+'Product Catalog'!H97)-J99)/(H99*(1+'Product Catalog'!H97))</f>
        <v>0.14062499999999983</v>
      </c>
      <c r="L99" s="56">
        <f>(F99+G99)*(1+VLOOKUP(E99,'Tariff Rates'!B:E,4,FALSE()))</f>
        <v>21.287500000000001</v>
      </c>
      <c r="M99" s="57">
        <f>(H99*(1+'Product Catalog'!H97)-L99)/(H99*(1+'Product Catalog'!H97))</f>
        <v>2.3437499999999976E-2</v>
      </c>
      <c r="N99" s="58">
        <f t="shared" si="1"/>
        <v>-0.19531250000000006</v>
      </c>
    </row>
    <row r="100" spans="2:14" x14ac:dyDescent="0.2">
      <c r="B100" s="49" t="str">
        <f>'Product Catalog'!B98</f>
        <v>SKU-1095</v>
      </c>
      <c r="C100" s="49" t="str">
        <f>'Product Catalog'!C98</f>
        <v>Leeks</v>
      </c>
      <c r="D100" s="49" t="str">
        <f>'Product Catalog'!D98</f>
        <v>American Vegetables</v>
      </c>
      <c r="E100" s="49" t="str">
        <f>'Product Catalog'!E98</f>
        <v>USA</v>
      </c>
      <c r="F100" s="50">
        <f>'Product Catalog'!F98</f>
        <v>18.510000000000002</v>
      </c>
      <c r="G100" s="50">
        <f>Methodology!$C$6</f>
        <v>4.5</v>
      </c>
      <c r="H100" s="51">
        <f>(F100+G100)*(1+VLOOKUP(E100,'Tariff Rates'!B:E,2,FALSE()))</f>
        <v>23.01</v>
      </c>
      <c r="I100" s="52">
        <f>'Product Catalog'!H98/(1+'Product Catalog'!H98)</f>
        <v>0.21875000000000003</v>
      </c>
      <c r="J100" s="51">
        <f>(F100+G100)*(1+VLOOKUP(E100,'Tariff Rates'!B:E,3,FALSE()))</f>
        <v>23.01</v>
      </c>
      <c r="K100" s="52">
        <f>(H100*(1+'Product Catalog'!H98)-J100)/(H100*(1+'Product Catalog'!H98))</f>
        <v>0.21875000000000003</v>
      </c>
      <c r="L100" s="51">
        <f>(F100+G100)*(1+VLOOKUP(E100,'Tariff Rates'!B:E,4,FALSE()))</f>
        <v>23.01</v>
      </c>
      <c r="M100" s="52">
        <f>(H100*(1+'Product Catalog'!H98)-L100)/(H100*(1+'Product Catalog'!H98))</f>
        <v>0.21875000000000003</v>
      </c>
      <c r="N100" s="53">
        <f t="shared" si="1"/>
        <v>0</v>
      </c>
    </row>
    <row r="101" spans="2:14" x14ac:dyDescent="0.2">
      <c r="B101" s="54" t="str">
        <f>'Product Catalog'!B99</f>
        <v>SKU-1096</v>
      </c>
      <c r="C101" s="54" t="str">
        <f>'Product Catalog'!C99</f>
        <v>Celery</v>
      </c>
      <c r="D101" s="54" t="str">
        <f>'Product Catalog'!D99</f>
        <v>American Vegetables</v>
      </c>
      <c r="E101" s="54" t="str">
        <f>'Product Catalog'!E99</f>
        <v>USA</v>
      </c>
      <c r="F101" s="55">
        <f>'Product Catalog'!F99</f>
        <v>14.29</v>
      </c>
      <c r="G101" s="55">
        <f>Methodology!$C$6</f>
        <v>4.5</v>
      </c>
      <c r="H101" s="56">
        <f>(F101+G101)*(1+VLOOKUP(E101,'Tariff Rates'!B:E,2,FALSE()))</f>
        <v>18.79</v>
      </c>
      <c r="I101" s="57">
        <f>'Product Catalog'!H99/(1+'Product Catalog'!H99)</f>
        <v>0.21875000000000003</v>
      </c>
      <c r="J101" s="56">
        <f>(F101+G101)*(1+VLOOKUP(E101,'Tariff Rates'!B:E,3,FALSE()))</f>
        <v>18.79</v>
      </c>
      <c r="K101" s="57">
        <f>(H101*(1+'Product Catalog'!H99)-J101)/(H101*(1+'Product Catalog'!H99))</f>
        <v>0.21874999999999997</v>
      </c>
      <c r="L101" s="56">
        <f>(F101+G101)*(1+VLOOKUP(E101,'Tariff Rates'!B:E,4,FALSE()))</f>
        <v>18.79</v>
      </c>
      <c r="M101" s="57">
        <f>(H101*(1+'Product Catalog'!H99)-L101)/(H101*(1+'Product Catalog'!H99))</f>
        <v>0.21874999999999997</v>
      </c>
      <c r="N101" s="58">
        <f t="shared" si="1"/>
        <v>0</v>
      </c>
    </row>
    <row r="102" spans="2:14" x14ac:dyDescent="0.2">
      <c r="B102" s="49" t="str">
        <f>'Product Catalog'!B100</f>
        <v>SKU-1097</v>
      </c>
      <c r="C102" s="49" t="str">
        <f>'Product Catalog'!C100</f>
        <v>Carrots (Bulk)</v>
      </c>
      <c r="D102" s="49" t="str">
        <f>'Product Catalog'!D100</f>
        <v>American Vegetables</v>
      </c>
      <c r="E102" s="49" t="str">
        <f>'Product Catalog'!E100</f>
        <v>USA</v>
      </c>
      <c r="F102" s="50">
        <f>'Product Catalog'!F100</f>
        <v>14.98</v>
      </c>
      <c r="G102" s="50">
        <f>Methodology!$C$6</f>
        <v>4.5</v>
      </c>
      <c r="H102" s="51">
        <f>(F102+G102)*(1+VLOOKUP(E102,'Tariff Rates'!B:E,2,FALSE()))</f>
        <v>19.48</v>
      </c>
      <c r="I102" s="52">
        <f>'Product Catalog'!H100/(1+'Product Catalog'!H100)</f>
        <v>0.21875000000000003</v>
      </c>
      <c r="J102" s="51">
        <f>(F102+G102)*(1+VLOOKUP(E102,'Tariff Rates'!B:E,3,FALSE()))</f>
        <v>19.48</v>
      </c>
      <c r="K102" s="52">
        <f>(H102*(1+'Product Catalog'!H100)-J102)/(H102*(1+'Product Catalog'!H100))</f>
        <v>0.21875</v>
      </c>
      <c r="L102" s="51">
        <f>(F102+G102)*(1+VLOOKUP(E102,'Tariff Rates'!B:E,4,FALSE()))</f>
        <v>19.48</v>
      </c>
      <c r="M102" s="52">
        <f>(H102*(1+'Product Catalog'!H100)-L102)/(H102*(1+'Product Catalog'!H100))</f>
        <v>0.21875</v>
      </c>
      <c r="N102" s="53">
        <f t="shared" si="1"/>
        <v>0</v>
      </c>
    </row>
    <row r="103" spans="2:14" x14ac:dyDescent="0.2">
      <c r="B103" s="54" t="str">
        <f>'Product Catalog'!B101</f>
        <v>SKU-1098</v>
      </c>
      <c r="C103" s="54" t="str">
        <f>'Product Catalog'!C101</f>
        <v>Rainbow Carrots</v>
      </c>
      <c r="D103" s="54" t="str">
        <f>'Product Catalog'!D101</f>
        <v>American Vegetables</v>
      </c>
      <c r="E103" s="54" t="str">
        <f>'Product Catalog'!E101</f>
        <v>USA</v>
      </c>
      <c r="F103" s="55">
        <f>'Product Catalog'!F101</f>
        <v>22.23</v>
      </c>
      <c r="G103" s="55">
        <f>Methodology!$C$6</f>
        <v>4.5</v>
      </c>
      <c r="H103" s="56">
        <f>(F103+G103)*(1+VLOOKUP(E103,'Tariff Rates'!B:E,2,FALSE()))</f>
        <v>26.73</v>
      </c>
      <c r="I103" s="57">
        <f>'Product Catalog'!H101/(1+'Product Catalog'!H101)</f>
        <v>0.21875000000000003</v>
      </c>
      <c r="J103" s="56">
        <f>(F103+G103)*(1+VLOOKUP(E103,'Tariff Rates'!B:E,3,FALSE()))</f>
        <v>26.73</v>
      </c>
      <c r="K103" s="57">
        <f>(H103*(1+'Product Catalog'!H101)-J103)/(H103*(1+'Product Catalog'!H101))</f>
        <v>0.21875000000000011</v>
      </c>
      <c r="L103" s="56">
        <f>(F103+G103)*(1+VLOOKUP(E103,'Tariff Rates'!B:E,4,FALSE()))</f>
        <v>26.73</v>
      </c>
      <c r="M103" s="57">
        <f>(H103*(1+'Product Catalog'!H101)-L103)/(H103*(1+'Product Catalog'!H101))</f>
        <v>0.21875000000000011</v>
      </c>
      <c r="N103" s="58">
        <f t="shared" si="1"/>
        <v>0</v>
      </c>
    </row>
    <row r="104" spans="2:14" x14ac:dyDescent="0.2">
      <c r="B104" s="49" t="str">
        <f>'Product Catalog'!B102</f>
        <v>SKU-1099</v>
      </c>
      <c r="C104" s="49" t="str">
        <f>'Product Catalog'!C102</f>
        <v>Broccoli Crowns</v>
      </c>
      <c r="D104" s="49" t="str">
        <f>'Product Catalog'!D102</f>
        <v>American Vegetables</v>
      </c>
      <c r="E104" s="49" t="str">
        <f>'Product Catalog'!E102</f>
        <v>USA</v>
      </c>
      <c r="F104" s="50">
        <f>'Product Catalog'!F102</f>
        <v>23.77</v>
      </c>
      <c r="G104" s="50">
        <f>Methodology!$C$6</f>
        <v>4.5</v>
      </c>
      <c r="H104" s="51">
        <f>(F104+G104)*(1+VLOOKUP(E104,'Tariff Rates'!B:E,2,FALSE()))</f>
        <v>28.27</v>
      </c>
      <c r="I104" s="52">
        <f>'Product Catalog'!H102/(1+'Product Catalog'!H102)</f>
        <v>0.21875000000000003</v>
      </c>
      <c r="J104" s="51">
        <f>(F104+G104)*(1+VLOOKUP(E104,'Tariff Rates'!B:E,3,FALSE()))</f>
        <v>28.27</v>
      </c>
      <c r="K104" s="52">
        <f>(H104*(1+'Product Catalog'!H102)-J104)/(H104*(1+'Product Catalog'!H102))</f>
        <v>0.21875000000000003</v>
      </c>
      <c r="L104" s="51">
        <f>(F104+G104)*(1+VLOOKUP(E104,'Tariff Rates'!B:E,4,FALSE()))</f>
        <v>28.27</v>
      </c>
      <c r="M104" s="52">
        <f>(H104*(1+'Product Catalog'!H102)-L104)/(H104*(1+'Product Catalog'!H102))</f>
        <v>0.21875000000000003</v>
      </c>
      <c r="N104" s="53">
        <f t="shared" si="1"/>
        <v>0</v>
      </c>
    </row>
    <row r="105" spans="2:14" x14ac:dyDescent="0.2">
      <c r="B105" s="54" t="str">
        <f>'Product Catalog'!B103</f>
        <v>SKU-1100</v>
      </c>
      <c r="C105" s="54" t="str">
        <f>'Product Catalog'!C103</f>
        <v>Broccolini</v>
      </c>
      <c r="D105" s="54" t="str">
        <f>'Product Catalog'!D103</f>
        <v>American Vegetables</v>
      </c>
      <c r="E105" s="54" t="str">
        <f>'Product Catalog'!E103</f>
        <v>Mexico</v>
      </c>
      <c r="F105" s="55">
        <f>'Product Catalog'!F103</f>
        <v>28.89</v>
      </c>
      <c r="G105" s="55">
        <f>Methodology!$C$6</f>
        <v>4.5</v>
      </c>
      <c r="H105" s="56">
        <f>(F105+G105)*(1+VLOOKUP(E105,'Tariff Rates'!B:E,2,FALSE()))</f>
        <v>33.39</v>
      </c>
      <c r="I105" s="57">
        <f>'Product Catalog'!H103/(1+'Product Catalog'!H103)</f>
        <v>0.21875000000000003</v>
      </c>
      <c r="J105" s="56">
        <f>(F105+G105)*(1+VLOOKUP(E105,'Tariff Rates'!B:E,3,FALSE()))</f>
        <v>36.729000000000006</v>
      </c>
      <c r="K105" s="57">
        <f>(H105*(1+'Product Catalog'!H103)-J105)/(H105*(1+'Product Catalog'!H103))</f>
        <v>0.14062499999999992</v>
      </c>
      <c r="L105" s="56">
        <f>(F105+G105)*(1+VLOOKUP(E105,'Tariff Rates'!B:E,4,FALSE()))</f>
        <v>41.737499999999997</v>
      </c>
      <c r="M105" s="57">
        <f>(H105*(1+'Product Catalog'!H103)-L105)/(H105*(1+'Product Catalog'!H103))</f>
        <v>2.3437500000000156E-2</v>
      </c>
      <c r="N105" s="58">
        <f t="shared" si="1"/>
        <v>-0.19531249999999986</v>
      </c>
    </row>
    <row r="106" spans="2:14" x14ac:dyDescent="0.2">
      <c r="B106" s="49" t="str">
        <f>'Product Catalog'!B104</f>
        <v>SKU-1101</v>
      </c>
      <c r="C106" s="49" t="str">
        <f>'Product Catalog'!C104</f>
        <v>Cauliflower</v>
      </c>
      <c r="D106" s="49" t="str">
        <f>'Product Catalog'!D104</f>
        <v>American Vegetables</v>
      </c>
      <c r="E106" s="49" t="str">
        <f>'Product Catalog'!E104</f>
        <v>USA</v>
      </c>
      <c r="F106" s="50">
        <f>'Product Catalog'!F104</f>
        <v>14.09</v>
      </c>
      <c r="G106" s="50">
        <f>Methodology!$C$6</f>
        <v>4.5</v>
      </c>
      <c r="H106" s="51">
        <f>(F106+G106)*(1+VLOOKUP(E106,'Tariff Rates'!B:E,2,FALSE()))</f>
        <v>18.59</v>
      </c>
      <c r="I106" s="52">
        <f>'Product Catalog'!H104/(1+'Product Catalog'!H104)</f>
        <v>0.21875000000000003</v>
      </c>
      <c r="J106" s="51">
        <f>(F106+G106)*(1+VLOOKUP(E106,'Tariff Rates'!B:E,3,FALSE()))</f>
        <v>18.59</v>
      </c>
      <c r="K106" s="52">
        <f>(H106*(1+'Product Catalog'!H104)-J106)/(H106*(1+'Product Catalog'!H104))</f>
        <v>0.21875000000000006</v>
      </c>
      <c r="L106" s="51">
        <f>(F106+G106)*(1+VLOOKUP(E106,'Tariff Rates'!B:E,4,FALSE()))</f>
        <v>18.59</v>
      </c>
      <c r="M106" s="52">
        <f>(H106*(1+'Product Catalog'!H104)-L106)/(H106*(1+'Product Catalog'!H104))</f>
        <v>0.21875000000000006</v>
      </c>
      <c r="N106" s="53">
        <f t="shared" si="1"/>
        <v>0</v>
      </c>
    </row>
    <row r="107" spans="2:14" x14ac:dyDescent="0.2">
      <c r="B107" s="54" t="str">
        <f>'Product Catalog'!B105</f>
        <v>SKU-1102</v>
      </c>
      <c r="C107" s="54" t="str">
        <f>'Product Catalog'!C105</f>
        <v>Romanesco</v>
      </c>
      <c r="D107" s="54" t="str">
        <f>'Product Catalog'!D105</f>
        <v>American Vegetables</v>
      </c>
      <c r="E107" s="54" t="str">
        <f>'Product Catalog'!E105</f>
        <v>USA</v>
      </c>
      <c r="F107" s="55">
        <f>'Product Catalog'!F105</f>
        <v>31.21</v>
      </c>
      <c r="G107" s="55">
        <f>Methodology!$C$6</f>
        <v>4.5</v>
      </c>
      <c r="H107" s="56">
        <f>(F107+G107)*(1+VLOOKUP(E107,'Tariff Rates'!B:E,2,FALSE()))</f>
        <v>35.71</v>
      </c>
      <c r="I107" s="57">
        <f>'Product Catalog'!H105/(1+'Product Catalog'!H105)</f>
        <v>0.21875000000000003</v>
      </c>
      <c r="J107" s="56">
        <f>(F107+G107)*(1+VLOOKUP(E107,'Tariff Rates'!B:E,3,FALSE()))</f>
        <v>35.71</v>
      </c>
      <c r="K107" s="57">
        <f>(H107*(1+'Product Catalog'!H105)-J107)/(H107*(1+'Product Catalog'!H105))</f>
        <v>0.21875000000000006</v>
      </c>
      <c r="L107" s="56">
        <f>(F107+G107)*(1+VLOOKUP(E107,'Tariff Rates'!B:E,4,FALSE()))</f>
        <v>35.71</v>
      </c>
      <c r="M107" s="57">
        <f>(H107*(1+'Product Catalog'!H105)-L107)/(H107*(1+'Product Catalog'!H105))</f>
        <v>0.21875000000000006</v>
      </c>
      <c r="N107" s="58">
        <f t="shared" si="1"/>
        <v>0</v>
      </c>
    </row>
    <row r="108" spans="2:14" x14ac:dyDescent="0.2">
      <c r="B108" s="49" t="str">
        <f>'Product Catalog'!B106</f>
        <v>SKU-1103</v>
      </c>
      <c r="C108" s="49" t="str">
        <f>'Product Catalog'!C106</f>
        <v>Green Cabbage</v>
      </c>
      <c r="D108" s="49" t="str">
        <f>'Product Catalog'!D106</f>
        <v>American Vegetables</v>
      </c>
      <c r="E108" s="49" t="str">
        <f>'Product Catalog'!E106</f>
        <v>USA</v>
      </c>
      <c r="F108" s="50">
        <f>'Product Catalog'!F106</f>
        <v>11.41</v>
      </c>
      <c r="G108" s="50">
        <f>Methodology!$C$6</f>
        <v>4.5</v>
      </c>
      <c r="H108" s="51">
        <f>(F108+G108)*(1+VLOOKUP(E108,'Tariff Rates'!B:E,2,FALSE()))</f>
        <v>15.91</v>
      </c>
      <c r="I108" s="52">
        <f>'Product Catalog'!H106/(1+'Product Catalog'!H106)</f>
        <v>0.21875000000000003</v>
      </c>
      <c r="J108" s="51">
        <f>(F108+G108)*(1+VLOOKUP(E108,'Tariff Rates'!B:E,3,FALSE()))</f>
        <v>15.91</v>
      </c>
      <c r="K108" s="52">
        <f>(H108*(1+'Product Catalog'!H106)-J108)/(H108*(1+'Product Catalog'!H106))</f>
        <v>0.21874999999999994</v>
      </c>
      <c r="L108" s="51">
        <f>(F108+G108)*(1+VLOOKUP(E108,'Tariff Rates'!B:E,4,FALSE()))</f>
        <v>15.91</v>
      </c>
      <c r="M108" s="52">
        <f>(H108*(1+'Product Catalog'!H106)-L108)/(H108*(1+'Product Catalog'!H106))</f>
        <v>0.21874999999999994</v>
      </c>
      <c r="N108" s="53">
        <f t="shared" si="1"/>
        <v>0</v>
      </c>
    </row>
    <row r="109" spans="2:14" x14ac:dyDescent="0.2">
      <c r="B109" s="54" t="str">
        <f>'Product Catalog'!B107</f>
        <v>SKU-1104</v>
      </c>
      <c r="C109" s="54" t="str">
        <f>'Product Catalog'!C107</f>
        <v>Red Cabbage</v>
      </c>
      <c r="D109" s="54" t="str">
        <f>'Product Catalog'!D107</f>
        <v>American Vegetables</v>
      </c>
      <c r="E109" s="54" t="str">
        <f>'Product Catalog'!E107</f>
        <v>USA</v>
      </c>
      <c r="F109" s="55">
        <f>'Product Catalog'!F107</f>
        <v>12.68</v>
      </c>
      <c r="G109" s="55">
        <f>Methodology!$C$6</f>
        <v>4.5</v>
      </c>
      <c r="H109" s="56">
        <f>(F109+G109)*(1+VLOOKUP(E109,'Tariff Rates'!B:E,2,FALSE()))</f>
        <v>17.18</v>
      </c>
      <c r="I109" s="57">
        <f>'Product Catalog'!H107/(1+'Product Catalog'!H107)</f>
        <v>0.21875000000000003</v>
      </c>
      <c r="J109" s="56">
        <f>(F109+G109)*(1+VLOOKUP(E109,'Tariff Rates'!B:E,3,FALSE()))</f>
        <v>17.18</v>
      </c>
      <c r="K109" s="57">
        <f>(H109*(1+'Product Catalog'!H107)-J109)/(H109*(1+'Product Catalog'!H107))</f>
        <v>0.21875000000000006</v>
      </c>
      <c r="L109" s="56">
        <f>(F109+G109)*(1+VLOOKUP(E109,'Tariff Rates'!B:E,4,FALSE()))</f>
        <v>17.18</v>
      </c>
      <c r="M109" s="57">
        <f>(H109*(1+'Product Catalog'!H107)-L109)/(H109*(1+'Product Catalog'!H107))</f>
        <v>0.21875000000000006</v>
      </c>
      <c r="N109" s="58">
        <f t="shared" si="1"/>
        <v>0</v>
      </c>
    </row>
    <row r="110" spans="2:14" x14ac:dyDescent="0.2">
      <c r="B110" s="49" t="str">
        <f>'Product Catalog'!B108</f>
        <v>SKU-1105</v>
      </c>
      <c r="C110" s="49" t="str">
        <f>'Product Catalog'!C108</f>
        <v>Savoy Cabbage</v>
      </c>
      <c r="D110" s="49" t="str">
        <f>'Product Catalog'!D108</f>
        <v>American Vegetables</v>
      </c>
      <c r="E110" s="49" t="str">
        <f>'Product Catalog'!E108</f>
        <v>USA</v>
      </c>
      <c r="F110" s="50">
        <f>'Product Catalog'!F108</f>
        <v>13.6</v>
      </c>
      <c r="G110" s="50">
        <f>Methodology!$C$6</f>
        <v>4.5</v>
      </c>
      <c r="H110" s="51">
        <f>(F110+G110)*(1+VLOOKUP(E110,'Tariff Rates'!B:E,2,FALSE()))</f>
        <v>18.100000000000001</v>
      </c>
      <c r="I110" s="52">
        <f>'Product Catalog'!H108/(1+'Product Catalog'!H108)</f>
        <v>0.21875000000000003</v>
      </c>
      <c r="J110" s="51">
        <f>(F110+G110)*(1+VLOOKUP(E110,'Tariff Rates'!B:E,3,FALSE()))</f>
        <v>18.100000000000001</v>
      </c>
      <c r="K110" s="52">
        <f>(H110*(1+'Product Catalog'!H108)-J110)/(H110*(1+'Product Catalog'!H108))</f>
        <v>0.21875000000000003</v>
      </c>
      <c r="L110" s="51">
        <f>(F110+G110)*(1+VLOOKUP(E110,'Tariff Rates'!B:E,4,FALSE()))</f>
        <v>18.100000000000001</v>
      </c>
      <c r="M110" s="52">
        <f>(H110*(1+'Product Catalog'!H108)-L110)/(H110*(1+'Product Catalog'!H108))</f>
        <v>0.21875000000000003</v>
      </c>
      <c r="N110" s="53">
        <f t="shared" si="1"/>
        <v>0</v>
      </c>
    </row>
    <row r="111" spans="2:14" x14ac:dyDescent="0.2">
      <c r="B111" s="54" t="str">
        <f>'Product Catalog'!B109</f>
        <v>SKU-1106</v>
      </c>
      <c r="C111" s="54" t="str">
        <f>'Product Catalog'!C109</f>
        <v>Brussels Sprouts</v>
      </c>
      <c r="D111" s="54" t="str">
        <f>'Product Catalog'!D109</f>
        <v>American Vegetables</v>
      </c>
      <c r="E111" s="54" t="str">
        <f>'Product Catalog'!E109</f>
        <v>USA</v>
      </c>
      <c r="F111" s="55">
        <f>'Product Catalog'!F109</f>
        <v>27.13</v>
      </c>
      <c r="G111" s="55">
        <f>Methodology!$C$6</f>
        <v>4.5</v>
      </c>
      <c r="H111" s="56">
        <f>(F111+G111)*(1+VLOOKUP(E111,'Tariff Rates'!B:E,2,FALSE()))</f>
        <v>31.63</v>
      </c>
      <c r="I111" s="57">
        <f>'Product Catalog'!H109/(1+'Product Catalog'!H109)</f>
        <v>0.21875000000000003</v>
      </c>
      <c r="J111" s="56">
        <f>(F111+G111)*(1+VLOOKUP(E111,'Tariff Rates'!B:E,3,FALSE()))</f>
        <v>31.63</v>
      </c>
      <c r="K111" s="57">
        <f>(H111*(1+'Product Catalog'!H109)-J111)/(H111*(1+'Product Catalog'!H109))</f>
        <v>0.21874999999999994</v>
      </c>
      <c r="L111" s="56">
        <f>(F111+G111)*(1+VLOOKUP(E111,'Tariff Rates'!B:E,4,FALSE()))</f>
        <v>31.63</v>
      </c>
      <c r="M111" s="57">
        <f>(H111*(1+'Product Catalog'!H109)-L111)/(H111*(1+'Product Catalog'!H109))</f>
        <v>0.21874999999999994</v>
      </c>
      <c r="N111" s="58">
        <f t="shared" si="1"/>
        <v>0</v>
      </c>
    </row>
    <row r="112" spans="2:14" x14ac:dyDescent="0.2">
      <c r="B112" s="49" t="str">
        <f>'Product Catalog'!B110</f>
        <v>SKU-1107</v>
      </c>
      <c r="C112" s="49" t="str">
        <f>'Product Catalog'!C110</f>
        <v>Asparagus</v>
      </c>
      <c r="D112" s="49" t="str">
        <f>'Product Catalog'!D110</f>
        <v>American Vegetables</v>
      </c>
      <c r="E112" s="49" t="str">
        <f>'Product Catalog'!E110</f>
        <v>Peru</v>
      </c>
      <c r="F112" s="50">
        <f>'Product Catalog'!F110</f>
        <v>33.450000000000003</v>
      </c>
      <c r="G112" s="50">
        <f>Methodology!$C$6</f>
        <v>4.5</v>
      </c>
      <c r="H112" s="51">
        <f>(F112+G112)*(1+VLOOKUP(E112,'Tariff Rates'!B:E,2,FALSE()))</f>
        <v>37.950000000000003</v>
      </c>
      <c r="I112" s="52">
        <f>'Product Catalog'!H110/(1+'Product Catalog'!H110)</f>
        <v>0.21875000000000003</v>
      </c>
      <c r="J112" s="51">
        <f>(F112+G112)*(1+VLOOKUP(E112,'Tariff Rates'!B:E,3,FALSE()))</f>
        <v>41.745000000000005</v>
      </c>
      <c r="K112" s="52">
        <f>(H112*(1+'Product Catalog'!H110)-J112)/(H112*(1+'Product Catalog'!H110))</f>
        <v>0.14062500000000003</v>
      </c>
      <c r="L112" s="51">
        <f>(F112+G112)*(1+VLOOKUP(E112,'Tariff Rates'!B:E,4,FALSE()))</f>
        <v>43.642499999999998</v>
      </c>
      <c r="M112" s="52">
        <f>(H112*(1+'Product Catalog'!H110)-L112)/(H112*(1+'Product Catalog'!H110))</f>
        <v>0.10156250000000018</v>
      </c>
      <c r="N112" s="53">
        <f t="shared" si="1"/>
        <v>-0.11718749999999985</v>
      </c>
    </row>
    <row r="113" spans="2:14" x14ac:dyDescent="0.2">
      <c r="B113" s="54" t="str">
        <f>'Product Catalog'!B111</f>
        <v>SKU-1108</v>
      </c>
      <c r="C113" s="54" t="str">
        <f>'Product Catalog'!C111</f>
        <v>Artichoke</v>
      </c>
      <c r="D113" s="54" t="str">
        <f>'Product Catalog'!D111</f>
        <v>American Vegetables</v>
      </c>
      <c r="E113" s="54" t="str">
        <f>'Product Catalog'!E111</f>
        <v>USA</v>
      </c>
      <c r="F113" s="55">
        <f>'Product Catalog'!F111</f>
        <v>29.22</v>
      </c>
      <c r="G113" s="55">
        <f>Methodology!$C$6</f>
        <v>4.5</v>
      </c>
      <c r="H113" s="56">
        <f>(F113+G113)*(1+VLOOKUP(E113,'Tariff Rates'!B:E,2,FALSE()))</f>
        <v>33.72</v>
      </c>
      <c r="I113" s="57">
        <f>'Product Catalog'!H111/(1+'Product Catalog'!H111)</f>
        <v>0.21875000000000003</v>
      </c>
      <c r="J113" s="56">
        <f>(F113+G113)*(1+VLOOKUP(E113,'Tariff Rates'!B:E,3,FALSE()))</f>
        <v>33.72</v>
      </c>
      <c r="K113" s="57">
        <f>(H113*(1+'Product Catalog'!H111)-J113)/(H113*(1+'Product Catalog'!H111))</f>
        <v>0.21875000000000003</v>
      </c>
      <c r="L113" s="56">
        <f>(F113+G113)*(1+VLOOKUP(E113,'Tariff Rates'!B:E,4,FALSE()))</f>
        <v>33.72</v>
      </c>
      <c r="M113" s="57">
        <f>(H113*(1+'Product Catalog'!H111)-L113)/(H113*(1+'Product Catalog'!H111))</f>
        <v>0.21875000000000003</v>
      </c>
      <c r="N113" s="58">
        <f t="shared" si="1"/>
        <v>0</v>
      </c>
    </row>
    <row r="114" spans="2:14" x14ac:dyDescent="0.2">
      <c r="B114" s="49" t="str">
        <f>'Product Catalog'!B112</f>
        <v>SKU-1109</v>
      </c>
      <c r="C114" s="49" t="str">
        <f>'Product Catalog'!C112</f>
        <v>Fennel Bulb</v>
      </c>
      <c r="D114" s="49" t="str">
        <f>'Product Catalog'!D112</f>
        <v>American Vegetables</v>
      </c>
      <c r="E114" s="49" t="str">
        <f>'Product Catalog'!E112</f>
        <v>USA</v>
      </c>
      <c r="F114" s="50">
        <f>'Product Catalog'!F112</f>
        <v>21.63</v>
      </c>
      <c r="G114" s="50">
        <f>Methodology!$C$6</f>
        <v>4.5</v>
      </c>
      <c r="H114" s="51">
        <f>(F114+G114)*(1+VLOOKUP(E114,'Tariff Rates'!B:E,2,FALSE()))</f>
        <v>26.13</v>
      </c>
      <c r="I114" s="52">
        <f>'Product Catalog'!H112/(1+'Product Catalog'!H112)</f>
        <v>0.21875000000000003</v>
      </c>
      <c r="J114" s="51">
        <f>(F114+G114)*(1+VLOOKUP(E114,'Tariff Rates'!B:E,3,FALSE()))</f>
        <v>26.13</v>
      </c>
      <c r="K114" s="52">
        <f>(H114*(1+'Product Catalog'!H112)-J114)/(H114*(1+'Product Catalog'!H112))</f>
        <v>0.21874999999999997</v>
      </c>
      <c r="L114" s="51">
        <f>(F114+G114)*(1+VLOOKUP(E114,'Tariff Rates'!B:E,4,FALSE()))</f>
        <v>26.13</v>
      </c>
      <c r="M114" s="52">
        <f>(H114*(1+'Product Catalog'!H112)-L114)/(H114*(1+'Product Catalog'!H112))</f>
        <v>0.21874999999999997</v>
      </c>
      <c r="N114" s="53">
        <f t="shared" si="1"/>
        <v>0</v>
      </c>
    </row>
    <row r="115" spans="2:14" x14ac:dyDescent="0.2">
      <c r="B115" s="54" t="str">
        <f>'Product Catalog'!B113</f>
        <v>SKU-1110</v>
      </c>
      <c r="C115" s="54" t="str">
        <f>'Product Catalog'!C113</f>
        <v>Radicchio</v>
      </c>
      <c r="D115" s="54" t="str">
        <f>'Product Catalog'!D113</f>
        <v>American Vegetables</v>
      </c>
      <c r="E115" s="54" t="str">
        <f>'Product Catalog'!E113</f>
        <v>Italy</v>
      </c>
      <c r="F115" s="55">
        <f>'Product Catalog'!F113</f>
        <v>37.54</v>
      </c>
      <c r="G115" s="55">
        <f>Methodology!$C$6</f>
        <v>4.5</v>
      </c>
      <c r="H115" s="56">
        <f>(F115+G115)*(1+VLOOKUP(E115,'Tariff Rates'!B:E,2,FALSE()))</f>
        <v>44.142000000000003</v>
      </c>
      <c r="I115" s="57">
        <f>'Product Catalog'!H113/(1+'Product Catalog'!H113)</f>
        <v>0.21875000000000003</v>
      </c>
      <c r="J115" s="56">
        <f>(F115+G115)*(1+VLOOKUP(E115,'Tariff Rates'!B:E,3,FALSE()))</f>
        <v>48.345999999999997</v>
      </c>
      <c r="K115" s="57">
        <f>(H115*(1+'Product Catalog'!H113)-J115)/(H115*(1+'Product Catalog'!H113))</f>
        <v>0.14434523809523822</v>
      </c>
      <c r="L115" s="56">
        <f>(F115+G115)*(1+VLOOKUP(E115,'Tariff Rates'!B:E,4,FALSE()))</f>
        <v>50.448</v>
      </c>
      <c r="M115" s="57">
        <f>(H115*(1+'Product Catalog'!H113)-L115)/(H115*(1+'Product Catalog'!H113))</f>
        <v>0.10714285714285721</v>
      </c>
      <c r="N115" s="58">
        <f t="shared" si="1"/>
        <v>-0.11160714285714282</v>
      </c>
    </row>
    <row r="116" spans="2:14" x14ac:dyDescent="0.2">
      <c r="B116" s="49" t="str">
        <f>'Product Catalog'!B114</f>
        <v>SKU-1111</v>
      </c>
      <c r="C116" s="49" t="str">
        <f>'Product Catalog'!C114</f>
        <v>Endive</v>
      </c>
      <c r="D116" s="49" t="str">
        <f>'Product Catalog'!D114</f>
        <v>American Vegetables</v>
      </c>
      <c r="E116" s="49" t="str">
        <f>'Product Catalog'!E114</f>
        <v>Belgium</v>
      </c>
      <c r="F116" s="50">
        <f>'Product Catalog'!F114</f>
        <v>42.51</v>
      </c>
      <c r="G116" s="50">
        <f>Methodology!$C$6</f>
        <v>4.5</v>
      </c>
      <c r="H116" s="51">
        <f>(F116+G116)*(1+VLOOKUP(E116,'Tariff Rates'!B:E,2,FALSE()))</f>
        <v>49.360500000000002</v>
      </c>
      <c r="I116" s="52">
        <f>'Product Catalog'!H114/(1+'Product Catalog'!H114)</f>
        <v>0.21875000000000003</v>
      </c>
      <c r="J116" s="51">
        <f>(F116+G116)*(1+VLOOKUP(E116,'Tariff Rates'!B:E,3,FALSE()))</f>
        <v>54.061499999999995</v>
      </c>
      <c r="K116" s="52">
        <f>(H116*(1+'Product Catalog'!H114)-J116)/(H116*(1+'Product Catalog'!H114))</f>
        <v>0.14434523809523819</v>
      </c>
      <c r="L116" s="51">
        <f>(F116+G116)*(1+VLOOKUP(E116,'Tariff Rates'!B:E,4,FALSE()))</f>
        <v>56.411999999999999</v>
      </c>
      <c r="M116" s="52">
        <f>(H116*(1+'Product Catalog'!H114)-L116)/(H116*(1+'Product Catalog'!H114))</f>
        <v>0.10714285714285719</v>
      </c>
      <c r="N116" s="53">
        <f t="shared" si="1"/>
        <v>-0.11160714285714284</v>
      </c>
    </row>
    <row r="117" spans="2:14" x14ac:dyDescent="0.2">
      <c r="B117" s="54" t="str">
        <f>'Product Catalog'!B115</f>
        <v>SKU-1112</v>
      </c>
      <c r="C117" s="54" t="str">
        <f>'Product Catalog'!C115</f>
        <v>Button Mushrooms</v>
      </c>
      <c r="D117" s="54" t="str">
        <f>'Product Catalog'!D115</f>
        <v>Mushrooms</v>
      </c>
      <c r="E117" s="54" t="str">
        <f>'Product Catalog'!E115</f>
        <v>USA</v>
      </c>
      <c r="F117" s="55">
        <f>'Product Catalog'!F115</f>
        <v>24.11</v>
      </c>
      <c r="G117" s="55">
        <f>Methodology!$C$6</f>
        <v>4.5</v>
      </c>
      <c r="H117" s="56">
        <f>(F117+G117)*(1+VLOOKUP(E117,'Tariff Rates'!B:E,2,FALSE()))</f>
        <v>28.61</v>
      </c>
      <c r="I117" s="57">
        <f>'Product Catalog'!H115/(1+'Product Catalog'!H115)</f>
        <v>0.25925925925925924</v>
      </c>
      <c r="J117" s="56">
        <f>(F117+G117)*(1+VLOOKUP(E117,'Tariff Rates'!B:E,3,FALSE()))</f>
        <v>28.61</v>
      </c>
      <c r="K117" s="57">
        <f>(H117*(1+'Product Catalog'!H115)-J117)/(H117*(1+'Product Catalog'!H115))</f>
        <v>0.2592592592592593</v>
      </c>
      <c r="L117" s="56">
        <f>(F117+G117)*(1+VLOOKUP(E117,'Tariff Rates'!B:E,4,FALSE()))</f>
        <v>28.61</v>
      </c>
      <c r="M117" s="57">
        <f>(H117*(1+'Product Catalog'!H115)-L117)/(H117*(1+'Product Catalog'!H115))</f>
        <v>0.2592592592592593</v>
      </c>
      <c r="N117" s="58">
        <f t="shared" si="1"/>
        <v>0</v>
      </c>
    </row>
    <row r="118" spans="2:14" x14ac:dyDescent="0.2">
      <c r="B118" s="49" t="str">
        <f>'Product Catalog'!B116</f>
        <v>SKU-1113</v>
      </c>
      <c r="C118" s="49" t="str">
        <f>'Product Catalog'!C116</f>
        <v>Cremini Mushrooms</v>
      </c>
      <c r="D118" s="49" t="str">
        <f>'Product Catalog'!D116</f>
        <v>Mushrooms</v>
      </c>
      <c r="E118" s="49" t="str">
        <f>'Product Catalog'!E116</f>
        <v>USA</v>
      </c>
      <c r="F118" s="50">
        <f>'Product Catalog'!F116</f>
        <v>28</v>
      </c>
      <c r="G118" s="50">
        <f>Methodology!$C$6</f>
        <v>4.5</v>
      </c>
      <c r="H118" s="51">
        <f>(F118+G118)*(1+VLOOKUP(E118,'Tariff Rates'!B:E,2,FALSE()))</f>
        <v>32.5</v>
      </c>
      <c r="I118" s="52">
        <f>'Product Catalog'!H116/(1+'Product Catalog'!H116)</f>
        <v>0.25925925925925924</v>
      </c>
      <c r="J118" s="51">
        <f>(F118+G118)*(1+VLOOKUP(E118,'Tariff Rates'!B:E,3,FALSE()))</f>
        <v>32.5</v>
      </c>
      <c r="K118" s="52">
        <f>(H118*(1+'Product Catalog'!H116)-J118)/(H118*(1+'Product Catalog'!H116))</f>
        <v>0.25925925925925924</v>
      </c>
      <c r="L118" s="51">
        <f>(F118+G118)*(1+VLOOKUP(E118,'Tariff Rates'!B:E,4,FALSE()))</f>
        <v>32.5</v>
      </c>
      <c r="M118" s="52">
        <f>(H118*(1+'Product Catalog'!H116)-L118)/(H118*(1+'Product Catalog'!H116))</f>
        <v>0.25925925925925924</v>
      </c>
      <c r="N118" s="53">
        <f t="shared" si="1"/>
        <v>0</v>
      </c>
    </row>
    <row r="119" spans="2:14" x14ac:dyDescent="0.2">
      <c r="B119" s="54" t="str">
        <f>'Product Catalog'!B117</f>
        <v>SKU-1114</v>
      </c>
      <c r="C119" s="54" t="str">
        <f>'Product Catalog'!C117</f>
        <v>Portobello</v>
      </c>
      <c r="D119" s="54" t="str">
        <f>'Product Catalog'!D117</f>
        <v>Mushrooms</v>
      </c>
      <c r="E119" s="54" t="str">
        <f>'Product Catalog'!E117</f>
        <v>USA</v>
      </c>
      <c r="F119" s="55">
        <f>'Product Catalog'!F117</f>
        <v>29.79</v>
      </c>
      <c r="G119" s="55">
        <f>Methodology!$C$6</f>
        <v>4.5</v>
      </c>
      <c r="H119" s="56">
        <f>(F119+G119)*(1+VLOOKUP(E119,'Tariff Rates'!B:E,2,FALSE()))</f>
        <v>34.29</v>
      </c>
      <c r="I119" s="57">
        <f>'Product Catalog'!H117/(1+'Product Catalog'!H117)</f>
        <v>0.25925925925925924</v>
      </c>
      <c r="J119" s="56">
        <f>(F119+G119)*(1+VLOOKUP(E119,'Tariff Rates'!B:E,3,FALSE()))</f>
        <v>34.29</v>
      </c>
      <c r="K119" s="57">
        <f>(H119*(1+'Product Catalog'!H117)-J119)/(H119*(1+'Product Catalog'!H117))</f>
        <v>0.25925925925925924</v>
      </c>
      <c r="L119" s="56">
        <f>(F119+G119)*(1+VLOOKUP(E119,'Tariff Rates'!B:E,4,FALSE()))</f>
        <v>34.29</v>
      </c>
      <c r="M119" s="57">
        <f>(H119*(1+'Product Catalog'!H117)-L119)/(H119*(1+'Product Catalog'!H117))</f>
        <v>0.25925925925925924</v>
      </c>
      <c r="N119" s="58">
        <f t="shared" si="1"/>
        <v>0</v>
      </c>
    </row>
    <row r="120" spans="2:14" x14ac:dyDescent="0.2">
      <c r="B120" s="49" t="str">
        <f>'Product Catalog'!B118</f>
        <v>SKU-1115</v>
      </c>
      <c r="C120" s="49" t="str">
        <f>'Product Catalog'!C118</f>
        <v>Shiitake (Fresh)</v>
      </c>
      <c r="D120" s="49" t="str">
        <f>'Product Catalog'!D118</f>
        <v>Mushrooms</v>
      </c>
      <c r="E120" s="49" t="str">
        <f>'Product Catalog'!E118</f>
        <v>USA</v>
      </c>
      <c r="F120" s="50">
        <f>'Product Catalog'!F118</f>
        <v>50.78</v>
      </c>
      <c r="G120" s="50">
        <f>Methodology!$C$6</f>
        <v>4.5</v>
      </c>
      <c r="H120" s="51">
        <f>(F120+G120)*(1+VLOOKUP(E120,'Tariff Rates'!B:E,2,FALSE()))</f>
        <v>55.28</v>
      </c>
      <c r="I120" s="52">
        <f>'Product Catalog'!H118/(1+'Product Catalog'!H118)</f>
        <v>0.25925925925925924</v>
      </c>
      <c r="J120" s="51">
        <f>(F120+G120)*(1+VLOOKUP(E120,'Tariff Rates'!B:E,3,FALSE()))</f>
        <v>55.28</v>
      </c>
      <c r="K120" s="52">
        <f>(H120*(1+'Product Catalog'!H118)-J120)/(H120*(1+'Product Catalog'!H118))</f>
        <v>0.25925925925925924</v>
      </c>
      <c r="L120" s="51">
        <f>(F120+G120)*(1+VLOOKUP(E120,'Tariff Rates'!B:E,4,FALSE()))</f>
        <v>55.28</v>
      </c>
      <c r="M120" s="52">
        <f>(H120*(1+'Product Catalog'!H118)-L120)/(H120*(1+'Product Catalog'!H118))</f>
        <v>0.25925925925925924</v>
      </c>
      <c r="N120" s="53">
        <f t="shared" si="1"/>
        <v>0</v>
      </c>
    </row>
    <row r="121" spans="2:14" x14ac:dyDescent="0.2">
      <c r="B121" s="54" t="str">
        <f>'Product Catalog'!B119</f>
        <v>SKU-1116</v>
      </c>
      <c r="C121" s="54" t="str">
        <f>'Product Catalog'!C119</f>
        <v>Shiitake (Dried)</v>
      </c>
      <c r="D121" s="54" t="str">
        <f>'Product Catalog'!D119</f>
        <v>Mushrooms</v>
      </c>
      <c r="E121" s="54" t="str">
        <f>'Product Catalog'!E119</f>
        <v>China</v>
      </c>
      <c r="F121" s="55">
        <f>'Product Catalog'!F119</f>
        <v>82.28</v>
      </c>
      <c r="G121" s="55">
        <f>Methodology!$C$6</f>
        <v>4.5</v>
      </c>
      <c r="H121" s="56">
        <f>(F121+G121)*(1+VLOOKUP(E121,'Tariff Rates'!B:E,2,FALSE()))</f>
        <v>99.796999999999997</v>
      </c>
      <c r="I121" s="57">
        <f>'Product Catalog'!H119/(1+'Product Catalog'!H119)</f>
        <v>0.25925925925925924</v>
      </c>
      <c r="J121" s="56">
        <f>(F121+G121)*(1+VLOOKUP(E121,'Tariff Rates'!B:E,3,FALSE()))</f>
        <v>112.81400000000001</v>
      </c>
      <c r="K121" s="57">
        <f>(H121*(1+'Product Catalog'!H119)-J121)/(H121*(1+'Product Catalog'!H119))</f>
        <v>0.16264090177133658</v>
      </c>
      <c r="L121" s="56">
        <f>(F121+G121)*(1+VLOOKUP(E121,'Tariff Rates'!B:E,4,FALSE()))</f>
        <v>130.17000000000002</v>
      </c>
      <c r="M121" s="57">
        <f>(H121*(1+'Product Catalog'!H119)-L121)/(H121*(1+'Product Catalog'!H119))</f>
        <v>3.381642512077291E-2</v>
      </c>
      <c r="N121" s="58">
        <f t="shared" si="1"/>
        <v>-0.22544283413848634</v>
      </c>
    </row>
    <row r="122" spans="2:14" x14ac:dyDescent="0.2">
      <c r="B122" s="49" t="str">
        <f>'Product Catalog'!B120</f>
        <v>SKU-1117</v>
      </c>
      <c r="C122" s="49" t="str">
        <f>'Product Catalog'!C120</f>
        <v>King Oyster</v>
      </c>
      <c r="D122" s="49" t="str">
        <f>'Product Catalog'!D120</f>
        <v>Mushrooms</v>
      </c>
      <c r="E122" s="49" t="str">
        <f>'Product Catalog'!E120</f>
        <v>South Korea</v>
      </c>
      <c r="F122" s="50">
        <f>'Product Catalog'!F120</f>
        <v>46.78</v>
      </c>
      <c r="G122" s="50">
        <f>Methodology!$C$6</f>
        <v>4.5</v>
      </c>
      <c r="H122" s="51">
        <f>(F122+G122)*(1+VLOOKUP(E122,'Tariff Rates'!B:E,2,FALSE()))</f>
        <v>51.28</v>
      </c>
      <c r="I122" s="52">
        <f>'Product Catalog'!H120/(1+'Product Catalog'!H120)</f>
        <v>0.25925925925925924</v>
      </c>
      <c r="J122" s="51">
        <f>(F122+G122)*(1+VLOOKUP(E122,'Tariff Rates'!B:E,3,FALSE()))</f>
        <v>56.408000000000008</v>
      </c>
      <c r="K122" s="52">
        <f>(H122*(1+'Product Catalog'!H120)-J122)/(H122*(1+'Product Catalog'!H120))</f>
        <v>0.18518518518518517</v>
      </c>
      <c r="L122" s="51">
        <f>(F122+G122)*(1+VLOOKUP(E122,'Tariff Rates'!B:E,4,FALSE()))</f>
        <v>58.971999999999994</v>
      </c>
      <c r="M122" s="52">
        <f>(H122*(1+'Product Catalog'!H120)-L122)/(H122*(1+'Product Catalog'!H120))</f>
        <v>0.14814814814814833</v>
      </c>
      <c r="N122" s="53">
        <f t="shared" si="1"/>
        <v>-0.11111111111111091</v>
      </c>
    </row>
    <row r="123" spans="2:14" x14ac:dyDescent="0.2">
      <c r="B123" s="54" t="str">
        <f>'Product Catalog'!B121</f>
        <v>SKU-1118</v>
      </c>
      <c r="C123" s="54" t="str">
        <f>'Product Catalog'!C121</f>
        <v>Oyster Mushrooms</v>
      </c>
      <c r="D123" s="54" t="str">
        <f>'Product Catalog'!D121</f>
        <v>Mushrooms</v>
      </c>
      <c r="E123" s="54" t="str">
        <f>'Product Catalog'!E121</f>
        <v>USA</v>
      </c>
      <c r="F123" s="55">
        <f>'Product Catalog'!F121</f>
        <v>39.67</v>
      </c>
      <c r="G123" s="55">
        <f>Methodology!$C$6</f>
        <v>4.5</v>
      </c>
      <c r="H123" s="56">
        <f>(F123+G123)*(1+VLOOKUP(E123,'Tariff Rates'!B:E,2,FALSE()))</f>
        <v>44.17</v>
      </c>
      <c r="I123" s="57">
        <f>'Product Catalog'!H121/(1+'Product Catalog'!H121)</f>
        <v>0.25925925925925924</v>
      </c>
      <c r="J123" s="56">
        <f>(F123+G123)*(1+VLOOKUP(E123,'Tariff Rates'!B:E,3,FALSE()))</f>
        <v>44.17</v>
      </c>
      <c r="K123" s="57">
        <f>(H123*(1+'Product Catalog'!H121)-J123)/(H123*(1+'Product Catalog'!H121))</f>
        <v>0.2592592592592593</v>
      </c>
      <c r="L123" s="56">
        <f>(F123+G123)*(1+VLOOKUP(E123,'Tariff Rates'!B:E,4,FALSE()))</f>
        <v>44.17</v>
      </c>
      <c r="M123" s="57">
        <f>(H123*(1+'Product Catalog'!H121)-L123)/(H123*(1+'Product Catalog'!H121))</f>
        <v>0.2592592592592593</v>
      </c>
      <c r="N123" s="58">
        <f t="shared" si="1"/>
        <v>0</v>
      </c>
    </row>
    <row r="124" spans="2:14" x14ac:dyDescent="0.2">
      <c r="B124" s="49" t="str">
        <f>'Product Catalog'!B122</f>
        <v>SKU-1119</v>
      </c>
      <c r="C124" s="49" t="str">
        <f>'Product Catalog'!C122</f>
        <v>Enoki</v>
      </c>
      <c r="D124" s="49" t="str">
        <f>'Product Catalog'!D122</f>
        <v>Mushrooms</v>
      </c>
      <c r="E124" s="49" t="str">
        <f>'Product Catalog'!E122</f>
        <v>South Korea</v>
      </c>
      <c r="F124" s="50">
        <f>'Product Catalog'!F122</f>
        <v>34.090000000000003</v>
      </c>
      <c r="G124" s="50">
        <f>Methodology!$C$6</f>
        <v>4.5</v>
      </c>
      <c r="H124" s="51">
        <f>(F124+G124)*(1+VLOOKUP(E124,'Tariff Rates'!B:E,2,FALSE()))</f>
        <v>38.590000000000003</v>
      </c>
      <c r="I124" s="52">
        <f>'Product Catalog'!H122/(1+'Product Catalog'!H122)</f>
        <v>0.25925925925925924</v>
      </c>
      <c r="J124" s="51">
        <f>(F124+G124)*(1+VLOOKUP(E124,'Tariff Rates'!B:E,3,FALSE()))</f>
        <v>42.449000000000005</v>
      </c>
      <c r="K124" s="52">
        <f>(H124*(1+'Product Catalog'!H122)-J124)/(H124*(1+'Product Catalog'!H122))</f>
        <v>0.18518518518518517</v>
      </c>
      <c r="L124" s="51">
        <f>(F124+G124)*(1+VLOOKUP(E124,'Tariff Rates'!B:E,4,FALSE()))</f>
        <v>44.378500000000003</v>
      </c>
      <c r="M124" s="52">
        <f>(H124*(1+'Product Catalog'!H122)-L124)/(H124*(1+'Product Catalog'!H122))</f>
        <v>0.1481481481481482</v>
      </c>
      <c r="N124" s="53">
        <f t="shared" si="1"/>
        <v>-0.11111111111111105</v>
      </c>
    </row>
    <row r="125" spans="2:14" x14ac:dyDescent="0.2">
      <c r="B125" s="54" t="str">
        <f>'Product Catalog'!B123</f>
        <v>SKU-1120</v>
      </c>
      <c r="C125" s="54" t="str">
        <f>'Product Catalog'!C123</f>
        <v>Beech (Shimeji)</v>
      </c>
      <c r="D125" s="54" t="str">
        <f>'Product Catalog'!D123</f>
        <v>Mushrooms</v>
      </c>
      <c r="E125" s="54" t="str">
        <f>'Product Catalog'!E123</f>
        <v>South Korea</v>
      </c>
      <c r="F125" s="55">
        <f>'Product Catalog'!F123</f>
        <v>31.83</v>
      </c>
      <c r="G125" s="55">
        <f>Methodology!$C$6</f>
        <v>4.5</v>
      </c>
      <c r="H125" s="56">
        <f>(F125+G125)*(1+VLOOKUP(E125,'Tariff Rates'!B:E,2,FALSE()))</f>
        <v>36.33</v>
      </c>
      <c r="I125" s="57">
        <f>'Product Catalog'!H123/(1+'Product Catalog'!H123)</f>
        <v>0.25925925925925924</v>
      </c>
      <c r="J125" s="56">
        <f>(F125+G125)*(1+VLOOKUP(E125,'Tariff Rates'!B:E,3,FALSE()))</f>
        <v>39.963000000000001</v>
      </c>
      <c r="K125" s="57">
        <f>(H125*(1+'Product Catalog'!H123)-J125)/(H125*(1+'Product Catalog'!H123))</f>
        <v>0.18518518518518523</v>
      </c>
      <c r="L125" s="56">
        <f>(F125+G125)*(1+VLOOKUP(E125,'Tariff Rates'!B:E,4,FALSE()))</f>
        <v>41.779499999999992</v>
      </c>
      <c r="M125" s="57">
        <f>(H125*(1+'Product Catalog'!H123)-L125)/(H125*(1+'Product Catalog'!H123))</f>
        <v>0.14814814814814839</v>
      </c>
      <c r="N125" s="58">
        <f t="shared" si="1"/>
        <v>-0.11111111111111086</v>
      </c>
    </row>
    <row r="126" spans="2:14" x14ac:dyDescent="0.2">
      <c r="B126" s="49" t="str">
        <f>'Product Catalog'!B124</f>
        <v>SKU-1121</v>
      </c>
      <c r="C126" s="49" t="str">
        <f>'Product Catalog'!C124</f>
        <v>Wood Ear (Dried)</v>
      </c>
      <c r="D126" s="49" t="str">
        <f>'Product Catalog'!D124</f>
        <v>Mushrooms</v>
      </c>
      <c r="E126" s="49" t="str">
        <f>'Product Catalog'!E124</f>
        <v>China</v>
      </c>
      <c r="F126" s="50">
        <f>'Product Catalog'!F124</f>
        <v>67.959999999999994</v>
      </c>
      <c r="G126" s="50">
        <f>Methodology!$C$6</f>
        <v>4.5</v>
      </c>
      <c r="H126" s="51">
        <f>(F126+G126)*(1+VLOOKUP(E126,'Tariff Rates'!B:E,2,FALSE()))</f>
        <v>83.328999999999979</v>
      </c>
      <c r="I126" s="52">
        <f>'Product Catalog'!H124/(1+'Product Catalog'!H124)</f>
        <v>0.25925925925925924</v>
      </c>
      <c r="J126" s="51">
        <f>(F126+G126)*(1+VLOOKUP(E126,'Tariff Rates'!B:E,3,FALSE()))</f>
        <v>94.197999999999993</v>
      </c>
      <c r="K126" s="52">
        <f>(H126*(1+'Product Catalog'!H124)-J126)/(H126*(1+'Product Catalog'!H124))</f>
        <v>0.16264090177133644</v>
      </c>
      <c r="L126" s="51">
        <f>(F126+G126)*(1+VLOOKUP(E126,'Tariff Rates'!B:E,4,FALSE()))</f>
        <v>108.69</v>
      </c>
      <c r="M126" s="52">
        <f>(H126*(1+'Product Catalog'!H124)-L126)/(H126*(1+'Product Catalog'!H124))</f>
        <v>3.3816425120772764E-2</v>
      </c>
      <c r="N126" s="53">
        <f t="shared" si="1"/>
        <v>-0.22544283413848648</v>
      </c>
    </row>
    <row r="127" spans="2:14" x14ac:dyDescent="0.2">
      <c r="B127" s="54" t="str">
        <f>'Product Catalog'!B125</f>
        <v>SKU-1122</v>
      </c>
      <c r="C127" s="54" t="str">
        <f>'Product Catalog'!C125</f>
        <v>Morel (Dried)</v>
      </c>
      <c r="D127" s="54" t="str">
        <f>'Product Catalog'!D125</f>
        <v>Mushrooms</v>
      </c>
      <c r="E127" s="54" t="str">
        <f>'Product Catalog'!E125</f>
        <v>China</v>
      </c>
      <c r="F127" s="55">
        <f>'Product Catalog'!F125</f>
        <v>161.58000000000001</v>
      </c>
      <c r="G127" s="55">
        <f>Methodology!$C$6</f>
        <v>4.5</v>
      </c>
      <c r="H127" s="56">
        <f>(F127+G127)*(1+VLOOKUP(E127,'Tariff Rates'!B:E,2,FALSE()))</f>
        <v>190.99199999999999</v>
      </c>
      <c r="I127" s="57">
        <f>'Product Catalog'!H125/(1+'Product Catalog'!H125)</f>
        <v>0.25925925925925924</v>
      </c>
      <c r="J127" s="56">
        <f>(F127+G127)*(1+VLOOKUP(E127,'Tariff Rates'!B:E,3,FALSE()))</f>
        <v>215.90400000000002</v>
      </c>
      <c r="K127" s="57">
        <f>(H127*(1+'Product Catalog'!H125)-J127)/(H127*(1+'Product Catalog'!H125))</f>
        <v>0.16264090177133647</v>
      </c>
      <c r="L127" s="56">
        <f>(F127+G127)*(1+VLOOKUP(E127,'Tariff Rates'!B:E,4,FALSE()))</f>
        <v>249.12</v>
      </c>
      <c r="M127" s="57">
        <f>(H127*(1+'Product Catalog'!H125)-L127)/(H127*(1+'Product Catalog'!H125))</f>
        <v>3.3816425120772951E-2</v>
      </c>
      <c r="N127" s="58">
        <f t="shared" si="1"/>
        <v>-0.22544283413848629</v>
      </c>
    </row>
    <row r="128" spans="2:14" x14ac:dyDescent="0.2">
      <c r="B128" s="49" t="str">
        <f>'Product Catalog'!B126</f>
        <v>SKU-1123</v>
      </c>
      <c r="C128" s="49" t="str">
        <f>'Product Catalog'!C126</f>
        <v>Cilantro</v>
      </c>
      <c r="D128" s="49" t="str">
        <f>'Product Catalog'!D126</f>
        <v>Herbs</v>
      </c>
      <c r="E128" s="49" t="str">
        <f>'Product Catalog'!E126</f>
        <v>Mexico</v>
      </c>
      <c r="F128" s="50">
        <f>'Product Catalog'!F126</f>
        <v>14.67</v>
      </c>
      <c r="G128" s="50">
        <f>Methodology!$C$6</f>
        <v>4.5</v>
      </c>
      <c r="H128" s="51">
        <f>(F128+G128)*(1+VLOOKUP(E128,'Tariff Rates'!B:E,2,FALSE()))</f>
        <v>19.170000000000002</v>
      </c>
      <c r="I128" s="52">
        <f>'Product Catalog'!H126/(1+'Product Catalog'!H126)</f>
        <v>0.28571428571428575</v>
      </c>
      <c r="J128" s="51">
        <f>(F128+G128)*(1+VLOOKUP(E128,'Tariff Rates'!B:E,3,FALSE()))</f>
        <v>21.087000000000003</v>
      </c>
      <c r="K128" s="52">
        <f>(H128*(1+'Product Catalog'!H126)-J128)/(H128*(1+'Product Catalog'!H126))</f>
        <v>0.21428571428571419</v>
      </c>
      <c r="L128" s="51">
        <f>(F128+G128)*(1+VLOOKUP(E128,'Tariff Rates'!B:E,4,FALSE()))</f>
        <v>23.962500000000002</v>
      </c>
      <c r="M128" s="52">
        <f>(H128*(1+'Product Catalog'!H126)-L128)/(H128*(1+'Product Catalog'!H126))</f>
        <v>0.1071428571428571</v>
      </c>
      <c r="N128" s="53">
        <f t="shared" si="1"/>
        <v>-0.17857142857142866</v>
      </c>
    </row>
    <row r="129" spans="2:14" x14ac:dyDescent="0.2">
      <c r="B129" s="54" t="str">
        <f>'Product Catalog'!B127</f>
        <v>SKU-1124</v>
      </c>
      <c r="C129" s="54" t="str">
        <f>'Product Catalog'!C127</f>
        <v>Flat-Leaf Parsley</v>
      </c>
      <c r="D129" s="54" t="str">
        <f>'Product Catalog'!D127</f>
        <v>Herbs</v>
      </c>
      <c r="E129" s="54" t="str">
        <f>'Product Catalog'!E127</f>
        <v>USA</v>
      </c>
      <c r="F129" s="55">
        <f>'Product Catalog'!F127</f>
        <v>15.18</v>
      </c>
      <c r="G129" s="55">
        <f>Methodology!$C$6</f>
        <v>4.5</v>
      </c>
      <c r="H129" s="56">
        <f>(F129+G129)*(1+VLOOKUP(E129,'Tariff Rates'!B:E,2,FALSE()))</f>
        <v>19.68</v>
      </c>
      <c r="I129" s="57">
        <f>'Product Catalog'!H127/(1+'Product Catalog'!H127)</f>
        <v>0.28571428571428575</v>
      </c>
      <c r="J129" s="56">
        <f>(F129+G129)*(1+VLOOKUP(E129,'Tariff Rates'!B:E,3,FALSE()))</f>
        <v>19.68</v>
      </c>
      <c r="K129" s="57">
        <f>(H129*(1+'Product Catalog'!H127)-J129)/(H129*(1+'Product Catalog'!H127))</f>
        <v>0.2857142857142857</v>
      </c>
      <c r="L129" s="56">
        <f>(F129+G129)*(1+VLOOKUP(E129,'Tariff Rates'!B:E,4,FALSE()))</f>
        <v>19.68</v>
      </c>
      <c r="M129" s="57">
        <f>(H129*(1+'Product Catalog'!H127)-L129)/(H129*(1+'Product Catalog'!H127))</f>
        <v>0.2857142857142857</v>
      </c>
      <c r="N129" s="58">
        <f t="shared" si="1"/>
        <v>0</v>
      </c>
    </row>
    <row r="130" spans="2:14" x14ac:dyDescent="0.2">
      <c r="B130" s="49" t="str">
        <f>'Product Catalog'!B128</f>
        <v>SKU-1125</v>
      </c>
      <c r="C130" s="49" t="str">
        <f>'Product Catalog'!C128</f>
        <v>Curly Parsley</v>
      </c>
      <c r="D130" s="49" t="str">
        <f>'Product Catalog'!D128</f>
        <v>Herbs</v>
      </c>
      <c r="E130" s="49" t="str">
        <f>'Product Catalog'!E128</f>
        <v>USA</v>
      </c>
      <c r="F130" s="50">
        <f>'Product Catalog'!F128</f>
        <v>11</v>
      </c>
      <c r="G130" s="50">
        <f>Methodology!$C$6</f>
        <v>4.5</v>
      </c>
      <c r="H130" s="51">
        <f>(F130+G130)*(1+VLOOKUP(E130,'Tariff Rates'!B:E,2,FALSE()))</f>
        <v>15.5</v>
      </c>
      <c r="I130" s="52">
        <f>'Product Catalog'!H128/(1+'Product Catalog'!H128)</f>
        <v>0.28571428571428575</v>
      </c>
      <c r="J130" s="51">
        <f>(F130+G130)*(1+VLOOKUP(E130,'Tariff Rates'!B:E,3,FALSE()))</f>
        <v>15.5</v>
      </c>
      <c r="K130" s="52">
        <f>(H130*(1+'Product Catalog'!H128)-J130)/(H130*(1+'Product Catalog'!H128))</f>
        <v>0.2857142857142857</v>
      </c>
      <c r="L130" s="51">
        <f>(F130+G130)*(1+VLOOKUP(E130,'Tariff Rates'!B:E,4,FALSE()))</f>
        <v>15.5</v>
      </c>
      <c r="M130" s="52">
        <f>(H130*(1+'Product Catalog'!H128)-L130)/(H130*(1+'Product Catalog'!H128))</f>
        <v>0.2857142857142857</v>
      </c>
      <c r="N130" s="53">
        <f t="shared" si="1"/>
        <v>0</v>
      </c>
    </row>
    <row r="131" spans="2:14" x14ac:dyDescent="0.2">
      <c r="B131" s="54" t="str">
        <f>'Product Catalog'!B129</f>
        <v>SKU-1126</v>
      </c>
      <c r="C131" s="54" t="str">
        <f>'Product Catalog'!C129</f>
        <v>Dill</v>
      </c>
      <c r="D131" s="54" t="str">
        <f>'Product Catalog'!D129</f>
        <v>Herbs</v>
      </c>
      <c r="E131" s="54" t="str">
        <f>'Product Catalog'!E129</f>
        <v>USA</v>
      </c>
      <c r="F131" s="55">
        <f>'Product Catalog'!F129</f>
        <v>18.59</v>
      </c>
      <c r="G131" s="55">
        <f>Methodology!$C$6</f>
        <v>4.5</v>
      </c>
      <c r="H131" s="56">
        <f>(F131+G131)*(1+VLOOKUP(E131,'Tariff Rates'!B:E,2,FALSE()))</f>
        <v>23.09</v>
      </c>
      <c r="I131" s="57">
        <f>'Product Catalog'!H129/(1+'Product Catalog'!H129)</f>
        <v>0.28571428571428575</v>
      </c>
      <c r="J131" s="56">
        <f>(F131+G131)*(1+VLOOKUP(E131,'Tariff Rates'!B:E,3,FALSE()))</f>
        <v>23.09</v>
      </c>
      <c r="K131" s="57">
        <f>(H131*(1+'Product Catalog'!H129)-J131)/(H131*(1+'Product Catalog'!H129))</f>
        <v>0.28571428571428575</v>
      </c>
      <c r="L131" s="56">
        <f>(F131+G131)*(1+VLOOKUP(E131,'Tariff Rates'!B:E,4,FALSE()))</f>
        <v>23.09</v>
      </c>
      <c r="M131" s="57">
        <f>(H131*(1+'Product Catalog'!H129)-L131)/(H131*(1+'Product Catalog'!H129))</f>
        <v>0.28571428571428575</v>
      </c>
      <c r="N131" s="58">
        <f t="shared" si="1"/>
        <v>0</v>
      </c>
    </row>
    <row r="132" spans="2:14" x14ac:dyDescent="0.2">
      <c r="B132" s="49" t="str">
        <f>'Product Catalog'!B130</f>
        <v>SKU-1127</v>
      </c>
      <c r="C132" s="49" t="str">
        <f>'Product Catalog'!C130</f>
        <v>Mint (Spearmint)</v>
      </c>
      <c r="D132" s="49" t="str">
        <f>'Product Catalog'!D130</f>
        <v>Herbs</v>
      </c>
      <c r="E132" s="49" t="str">
        <f>'Product Catalog'!E130</f>
        <v>USA</v>
      </c>
      <c r="F132" s="50">
        <f>'Product Catalog'!F130</f>
        <v>14.16</v>
      </c>
      <c r="G132" s="50">
        <f>Methodology!$C$6</f>
        <v>4.5</v>
      </c>
      <c r="H132" s="51">
        <f>(F132+G132)*(1+VLOOKUP(E132,'Tariff Rates'!B:E,2,FALSE()))</f>
        <v>18.66</v>
      </c>
      <c r="I132" s="52">
        <f>'Product Catalog'!H130/(1+'Product Catalog'!H130)</f>
        <v>0.28571428571428575</v>
      </c>
      <c r="J132" s="51">
        <f>(F132+G132)*(1+VLOOKUP(E132,'Tariff Rates'!B:E,3,FALSE()))</f>
        <v>18.66</v>
      </c>
      <c r="K132" s="52">
        <f>(H132*(1+'Product Catalog'!H130)-J132)/(H132*(1+'Product Catalog'!H130))</f>
        <v>0.2857142857142857</v>
      </c>
      <c r="L132" s="51">
        <f>(F132+G132)*(1+VLOOKUP(E132,'Tariff Rates'!B:E,4,FALSE()))</f>
        <v>18.66</v>
      </c>
      <c r="M132" s="52">
        <f>(H132*(1+'Product Catalog'!H130)-L132)/(H132*(1+'Product Catalog'!H130))</f>
        <v>0.2857142857142857</v>
      </c>
      <c r="N132" s="53">
        <f t="shared" si="1"/>
        <v>0</v>
      </c>
    </row>
    <row r="133" spans="2:14" x14ac:dyDescent="0.2">
      <c r="B133" s="54" t="str">
        <f>'Product Catalog'!B131</f>
        <v>SKU-1128</v>
      </c>
      <c r="C133" s="54" t="str">
        <f>'Product Catalog'!C131</f>
        <v>Thai Basil</v>
      </c>
      <c r="D133" s="54" t="str">
        <f>'Product Catalog'!D131</f>
        <v>Herbs</v>
      </c>
      <c r="E133" s="54" t="str">
        <f>'Product Catalog'!E131</f>
        <v>Thailand</v>
      </c>
      <c r="F133" s="55">
        <f>'Product Catalog'!F131</f>
        <v>31.29</v>
      </c>
      <c r="G133" s="55">
        <f>Methodology!$C$6</f>
        <v>4.5</v>
      </c>
      <c r="H133" s="56">
        <f>(F133+G133)*(1+VLOOKUP(E133,'Tariff Rates'!B:E,2,FALSE()))</f>
        <v>37.579500000000003</v>
      </c>
      <c r="I133" s="57">
        <f>'Product Catalog'!H131/(1+'Product Catalog'!H131)</f>
        <v>0.28571428571428575</v>
      </c>
      <c r="J133" s="56">
        <f>(F133+G133)*(1+VLOOKUP(E133,'Tariff Rates'!B:E,3,FALSE()))</f>
        <v>41.158499999999997</v>
      </c>
      <c r="K133" s="57">
        <f>(H133*(1+'Product Catalog'!H131)-J133)/(H133*(1+'Product Catalog'!H131))</f>
        <v>0.21768707482993205</v>
      </c>
      <c r="L133" s="56">
        <f>(F133+G133)*(1+VLOOKUP(E133,'Tariff Rates'!B:E,4,FALSE()))</f>
        <v>44.737499999999997</v>
      </c>
      <c r="M133" s="57">
        <f>(H133*(1+'Product Catalog'!H131)-L133)/(H133*(1+'Product Catalog'!H131))</f>
        <v>0.14965986394557829</v>
      </c>
      <c r="N133" s="58">
        <f t="shared" si="1"/>
        <v>-0.13605442176870747</v>
      </c>
    </row>
    <row r="134" spans="2:14" x14ac:dyDescent="0.2">
      <c r="B134" s="49" t="str">
        <f>'Product Catalog'!B132</f>
        <v>SKU-1129</v>
      </c>
      <c r="C134" s="49" t="str">
        <f>'Product Catalog'!C132</f>
        <v>Holy Basil</v>
      </c>
      <c r="D134" s="49" t="str">
        <f>'Product Catalog'!D132</f>
        <v>Herbs</v>
      </c>
      <c r="E134" s="49" t="str">
        <f>'Product Catalog'!E132</f>
        <v>Thailand</v>
      </c>
      <c r="F134" s="50">
        <f>'Product Catalog'!F132</f>
        <v>34.79</v>
      </c>
      <c r="G134" s="50">
        <f>Methodology!$C$6</f>
        <v>4.5</v>
      </c>
      <c r="H134" s="51">
        <f>(F134+G134)*(1+VLOOKUP(E134,'Tariff Rates'!B:E,2,FALSE()))</f>
        <v>41.2545</v>
      </c>
      <c r="I134" s="52">
        <f>'Product Catalog'!H132/(1+'Product Catalog'!H132)</f>
        <v>0.28571428571428575</v>
      </c>
      <c r="J134" s="51">
        <f>(F134+G134)*(1+VLOOKUP(E134,'Tariff Rates'!B:E,3,FALSE()))</f>
        <v>45.183499999999995</v>
      </c>
      <c r="K134" s="52">
        <f>(H134*(1+'Product Catalog'!H132)-J134)/(H134*(1+'Product Catalog'!H132))</f>
        <v>0.21768707482993199</v>
      </c>
      <c r="L134" s="51">
        <f>(F134+G134)*(1+VLOOKUP(E134,'Tariff Rates'!B:E,4,FALSE()))</f>
        <v>49.112499999999997</v>
      </c>
      <c r="M134" s="52">
        <f>(H134*(1+'Product Catalog'!H132)-L134)/(H134*(1+'Product Catalog'!H132))</f>
        <v>0.14965986394557823</v>
      </c>
      <c r="N134" s="53">
        <f t="shared" ref="N134:N197" si="2">M134-I134</f>
        <v>-0.13605442176870752</v>
      </c>
    </row>
    <row r="135" spans="2:14" x14ac:dyDescent="0.2">
      <c r="B135" s="54" t="str">
        <f>'Product Catalog'!B133</f>
        <v>SKU-1130</v>
      </c>
      <c r="C135" s="54" t="str">
        <f>'Product Catalog'!C133</f>
        <v>Italian Basil</v>
      </c>
      <c r="D135" s="54" t="str">
        <f>'Product Catalog'!D133</f>
        <v>Herbs</v>
      </c>
      <c r="E135" s="54" t="str">
        <f>'Product Catalog'!E133</f>
        <v>USA</v>
      </c>
      <c r="F135" s="55">
        <f>'Product Catalog'!F133</f>
        <v>24.65</v>
      </c>
      <c r="G135" s="55">
        <f>Methodology!$C$6</f>
        <v>4.5</v>
      </c>
      <c r="H135" s="56">
        <f>(F135+G135)*(1+VLOOKUP(E135,'Tariff Rates'!B:E,2,FALSE()))</f>
        <v>29.15</v>
      </c>
      <c r="I135" s="57">
        <f>'Product Catalog'!H133/(1+'Product Catalog'!H133)</f>
        <v>0.28571428571428575</v>
      </c>
      <c r="J135" s="56">
        <f>(F135+G135)*(1+VLOOKUP(E135,'Tariff Rates'!B:E,3,FALSE()))</f>
        <v>29.15</v>
      </c>
      <c r="K135" s="57">
        <f>(H135*(1+'Product Catalog'!H133)-J135)/(H135*(1+'Product Catalog'!H133))</f>
        <v>0.28571428571428564</v>
      </c>
      <c r="L135" s="56">
        <f>(F135+G135)*(1+VLOOKUP(E135,'Tariff Rates'!B:E,4,FALSE()))</f>
        <v>29.15</v>
      </c>
      <c r="M135" s="57">
        <f>(H135*(1+'Product Catalog'!H133)-L135)/(H135*(1+'Product Catalog'!H133))</f>
        <v>0.28571428571428564</v>
      </c>
      <c r="N135" s="58">
        <f t="shared" si="2"/>
        <v>0</v>
      </c>
    </row>
    <row r="136" spans="2:14" x14ac:dyDescent="0.2">
      <c r="B136" s="49" t="str">
        <f>'Product Catalog'!B134</f>
        <v>SKU-1131</v>
      </c>
      <c r="C136" s="49" t="str">
        <f>'Product Catalog'!C134</f>
        <v>Rosemary</v>
      </c>
      <c r="D136" s="49" t="str">
        <f>'Product Catalog'!D134</f>
        <v>Herbs</v>
      </c>
      <c r="E136" s="49" t="str">
        <f>'Product Catalog'!E134</f>
        <v>USA</v>
      </c>
      <c r="F136" s="50">
        <f>'Product Catalog'!F134</f>
        <v>18.46</v>
      </c>
      <c r="G136" s="50">
        <f>Methodology!$C$6</f>
        <v>4.5</v>
      </c>
      <c r="H136" s="51">
        <f>(F136+G136)*(1+VLOOKUP(E136,'Tariff Rates'!B:E,2,FALSE()))</f>
        <v>22.96</v>
      </c>
      <c r="I136" s="52">
        <f>'Product Catalog'!H134/(1+'Product Catalog'!H134)</f>
        <v>0.28571428571428575</v>
      </c>
      <c r="J136" s="51">
        <f>(F136+G136)*(1+VLOOKUP(E136,'Tariff Rates'!B:E,3,FALSE()))</f>
        <v>22.96</v>
      </c>
      <c r="K136" s="52">
        <f>(H136*(1+'Product Catalog'!H134)-J136)/(H136*(1+'Product Catalog'!H134))</f>
        <v>0.28571428571428564</v>
      </c>
      <c r="L136" s="51">
        <f>(F136+G136)*(1+VLOOKUP(E136,'Tariff Rates'!B:E,4,FALSE()))</f>
        <v>22.96</v>
      </c>
      <c r="M136" s="52">
        <f>(H136*(1+'Product Catalog'!H134)-L136)/(H136*(1+'Product Catalog'!H134))</f>
        <v>0.28571428571428564</v>
      </c>
      <c r="N136" s="53">
        <f t="shared" si="2"/>
        <v>0</v>
      </c>
    </row>
    <row r="137" spans="2:14" x14ac:dyDescent="0.2">
      <c r="B137" s="54" t="str">
        <f>'Product Catalog'!B135</f>
        <v>SKU-1132</v>
      </c>
      <c r="C137" s="54" t="str">
        <f>'Product Catalog'!C135</f>
        <v>Thyme</v>
      </c>
      <c r="D137" s="54" t="str">
        <f>'Product Catalog'!D135</f>
        <v>Herbs</v>
      </c>
      <c r="E137" s="54" t="str">
        <f>'Product Catalog'!E135</f>
        <v>USA</v>
      </c>
      <c r="F137" s="55">
        <f>'Product Catalog'!F135</f>
        <v>18.46</v>
      </c>
      <c r="G137" s="55">
        <f>Methodology!$C$6</f>
        <v>4.5</v>
      </c>
      <c r="H137" s="56">
        <f>(F137+G137)*(1+VLOOKUP(E137,'Tariff Rates'!B:E,2,FALSE()))</f>
        <v>22.96</v>
      </c>
      <c r="I137" s="57">
        <f>'Product Catalog'!H135/(1+'Product Catalog'!H135)</f>
        <v>0.28571428571428575</v>
      </c>
      <c r="J137" s="56">
        <f>(F137+G137)*(1+VLOOKUP(E137,'Tariff Rates'!B:E,3,FALSE()))</f>
        <v>22.96</v>
      </c>
      <c r="K137" s="57">
        <f>(H137*(1+'Product Catalog'!H135)-J137)/(H137*(1+'Product Catalog'!H135))</f>
        <v>0.28571428571428564</v>
      </c>
      <c r="L137" s="56">
        <f>(F137+G137)*(1+VLOOKUP(E137,'Tariff Rates'!B:E,4,FALSE()))</f>
        <v>22.96</v>
      </c>
      <c r="M137" s="57">
        <f>(H137*(1+'Product Catalog'!H135)-L137)/(H137*(1+'Product Catalog'!H135))</f>
        <v>0.28571428571428564</v>
      </c>
      <c r="N137" s="58">
        <f t="shared" si="2"/>
        <v>0</v>
      </c>
    </row>
    <row r="138" spans="2:14" x14ac:dyDescent="0.2">
      <c r="B138" s="49" t="str">
        <f>'Product Catalog'!B136</f>
        <v>SKU-1133</v>
      </c>
      <c r="C138" s="49" t="str">
        <f>'Product Catalog'!C136</f>
        <v>Oregano</v>
      </c>
      <c r="D138" s="49" t="str">
        <f>'Product Catalog'!D136</f>
        <v>Herbs</v>
      </c>
      <c r="E138" s="49" t="str">
        <f>'Product Catalog'!E136</f>
        <v>Mexico</v>
      </c>
      <c r="F138" s="50">
        <f>'Product Catalog'!F136</f>
        <v>23.02</v>
      </c>
      <c r="G138" s="50">
        <f>Methodology!$C$6</f>
        <v>4.5</v>
      </c>
      <c r="H138" s="51">
        <f>(F138+G138)*(1+VLOOKUP(E138,'Tariff Rates'!B:E,2,FALSE()))</f>
        <v>27.52</v>
      </c>
      <c r="I138" s="52">
        <f>'Product Catalog'!H136/(1+'Product Catalog'!H136)</f>
        <v>0.28571428571428575</v>
      </c>
      <c r="J138" s="51">
        <f>(F138+G138)*(1+VLOOKUP(E138,'Tariff Rates'!B:E,3,FALSE()))</f>
        <v>30.272000000000002</v>
      </c>
      <c r="K138" s="52">
        <f>(H138*(1+'Product Catalog'!H136)-J138)/(H138*(1+'Product Catalog'!H136))</f>
        <v>0.21428571428571422</v>
      </c>
      <c r="L138" s="51">
        <f>(F138+G138)*(1+VLOOKUP(E138,'Tariff Rates'!B:E,4,FALSE()))</f>
        <v>34.4</v>
      </c>
      <c r="M138" s="52">
        <f>(H138*(1+'Product Catalog'!H136)-L138)/(H138*(1+'Product Catalog'!H136))</f>
        <v>0.10714285714285715</v>
      </c>
      <c r="N138" s="53">
        <f t="shared" si="2"/>
        <v>-0.1785714285714286</v>
      </c>
    </row>
    <row r="139" spans="2:14" x14ac:dyDescent="0.2">
      <c r="B139" s="54" t="str">
        <f>'Product Catalog'!B137</f>
        <v>SKU-1134</v>
      </c>
      <c r="C139" s="54" t="str">
        <f>'Product Catalog'!C137</f>
        <v>Sage</v>
      </c>
      <c r="D139" s="54" t="str">
        <f>'Product Catalog'!D137</f>
        <v>Herbs</v>
      </c>
      <c r="E139" s="54" t="str">
        <f>'Product Catalog'!E137</f>
        <v>USA</v>
      </c>
      <c r="F139" s="55">
        <f>'Product Catalog'!F137</f>
        <v>27.58</v>
      </c>
      <c r="G139" s="55">
        <f>Methodology!$C$6</f>
        <v>4.5</v>
      </c>
      <c r="H139" s="56">
        <f>(F139+G139)*(1+VLOOKUP(E139,'Tariff Rates'!B:E,2,FALSE()))</f>
        <v>32.08</v>
      </c>
      <c r="I139" s="57">
        <f>'Product Catalog'!H137/(1+'Product Catalog'!H137)</f>
        <v>0.28571428571428575</v>
      </c>
      <c r="J139" s="56">
        <f>(F139+G139)*(1+VLOOKUP(E139,'Tariff Rates'!B:E,3,FALSE()))</f>
        <v>32.08</v>
      </c>
      <c r="K139" s="57">
        <f>(H139*(1+'Product Catalog'!H137)-J139)/(H139*(1+'Product Catalog'!H137))</f>
        <v>0.28571428571428564</v>
      </c>
      <c r="L139" s="56">
        <f>(F139+G139)*(1+VLOOKUP(E139,'Tariff Rates'!B:E,4,FALSE()))</f>
        <v>32.08</v>
      </c>
      <c r="M139" s="57">
        <f>(H139*(1+'Product Catalog'!H137)-L139)/(H139*(1+'Product Catalog'!H137))</f>
        <v>0.28571428571428564</v>
      </c>
      <c r="N139" s="58">
        <f t="shared" si="2"/>
        <v>0</v>
      </c>
    </row>
    <row r="140" spans="2:14" x14ac:dyDescent="0.2">
      <c r="B140" s="49" t="str">
        <f>'Product Catalog'!B138</f>
        <v>SKU-1135</v>
      </c>
      <c r="C140" s="49" t="str">
        <f>'Product Catalog'!C138</f>
        <v>Tarragon</v>
      </c>
      <c r="D140" s="49" t="str">
        <f>'Product Catalog'!D138</f>
        <v>Herbs</v>
      </c>
      <c r="E140" s="49" t="str">
        <f>'Product Catalog'!E138</f>
        <v>USA</v>
      </c>
      <c r="F140" s="50">
        <f>'Product Catalog'!F138</f>
        <v>24.86</v>
      </c>
      <c r="G140" s="50">
        <f>Methodology!$C$6</f>
        <v>4.5</v>
      </c>
      <c r="H140" s="51">
        <f>(F140+G140)*(1+VLOOKUP(E140,'Tariff Rates'!B:E,2,FALSE()))</f>
        <v>29.36</v>
      </c>
      <c r="I140" s="52">
        <f>'Product Catalog'!H138/(1+'Product Catalog'!H138)</f>
        <v>0.28571428571428575</v>
      </c>
      <c r="J140" s="51">
        <f>(F140+G140)*(1+VLOOKUP(E140,'Tariff Rates'!B:E,3,FALSE()))</f>
        <v>29.36</v>
      </c>
      <c r="K140" s="52">
        <f>(H140*(1+'Product Catalog'!H138)-J140)/(H140*(1+'Product Catalog'!H138))</f>
        <v>0.2857142857142857</v>
      </c>
      <c r="L140" s="51">
        <f>(F140+G140)*(1+VLOOKUP(E140,'Tariff Rates'!B:E,4,FALSE()))</f>
        <v>29.36</v>
      </c>
      <c r="M140" s="52">
        <f>(H140*(1+'Product Catalog'!H138)-L140)/(H140*(1+'Product Catalog'!H138))</f>
        <v>0.2857142857142857</v>
      </c>
      <c r="N140" s="53">
        <f t="shared" si="2"/>
        <v>0</v>
      </c>
    </row>
    <row r="141" spans="2:14" x14ac:dyDescent="0.2">
      <c r="B141" s="54" t="str">
        <f>'Product Catalog'!B139</f>
        <v>SKU-1136</v>
      </c>
      <c r="C141" s="54" t="str">
        <f>'Product Catalog'!C139</f>
        <v>Chives</v>
      </c>
      <c r="D141" s="54" t="str">
        <f>'Product Catalog'!D139</f>
        <v>Herbs</v>
      </c>
      <c r="E141" s="54" t="str">
        <f>'Product Catalog'!E139</f>
        <v>USA</v>
      </c>
      <c r="F141" s="55">
        <f>'Product Catalog'!F139</f>
        <v>21.89</v>
      </c>
      <c r="G141" s="55">
        <f>Methodology!$C$6</f>
        <v>4.5</v>
      </c>
      <c r="H141" s="56">
        <f>(F141+G141)*(1+VLOOKUP(E141,'Tariff Rates'!B:E,2,FALSE()))</f>
        <v>26.39</v>
      </c>
      <c r="I141" s="57">
        <f>'Product Catalog'!H139/(1+'Product Catalog'!H139)</f>
        <v>0.28571428571428575</v>
      </c>
      <c r="J141" s="56">
        <f>(F141+G141)*(1+VLOOKUP(E141,'Tariff Rates'!B:E,3,FALSE()))</f>
        <v>26.39</v>
      </c>
      <c r="K141" s="57">
        <f>(H141*(1+'Product Catalog'!H139)-J141)/(H141*(1+'Product Catalog'!H139))</f>
        <v>0.28571428571428564</v>
      </c>
      <c r="L141" s="56">
        <f>(F141+G141)*(1+VLOOKUP(E141,'Tariff Rates'!B:E,4,FALSE()))</f>
        <v>26.39</v>
      </c>
      <c r="M141" s="57">
        <f>(H141*(1+'Product Catalog'!H139)-L141)/(H141*(1+'Product Catalog'!H139))</f>
        <v>0.28571428571428564</v>
      </c>
      <c r="N141" s="58">
        <f t="shared" si="2"/>
        <v>0</v>
      </c>
    </row>
    <row r="142" spans="2:14" x14ac:dyDescent="0.2">
      <c r="B142" s="49" t="str">
        <f>'Product Catalog'!B140</f>
        <v>SKU-1137</v>
      </c>
      <c r="C142" s="49" t="str">
        <f>'Product Catalog'!C140</f>
        <v>Marjoram</v>
      </c>
      <c r="D142" s="49" t="str">
        <f>'Product Catalog'!D140</f>
        <v>Herbs</v>
      </c>
      <c r="E142" s="49" t="str">
        <f>'Product Catalog'!E140</f>
        <v>USA</v>
      </c>
      <c r="F142" s="50">
        <f>'Product Catalog'!F140</f>
        <v>22.55</v>
      </c>
      <c r="G142" s="50">
        <f>Methodology!$C$6</f>
        <v>4.5</v>
      </c>
      <c r="H142" s="51">
        <f>(F142+G142)*(1+VLOOKUP(E142,'Tariff Rates'!B:E,2,FALSE()))</f>
        <v>27.05</v>
      </c>
      <c r="I142" s="52">
        <f>'Product Catalog'!H140/(1+'Product Catalog'!H140)</f>
        <v>0.28571428571428575</v>
      </c>
      <c r="J142" s="51">
        <f>(F142+G142)*(1+VLOOKUP(E142,'Tariff Rates'!B:E,3,FALSE()))</f>
        <v>27.05</v>
      </c>
      <c r="K142" s="52">
        <f>(H142*(1+'Product Catalog'!H140)-J142)/(H142*(1+'Product Catalog'!H140))</f>
        <v>0.28571428571428564</v>
      </c>
      <c r="L142" s="51">
        <f>(F142+G142)*(1+VLOOKUP(E142,'Tariff Rates'!B:E,4,FALSE()))</f>
        <v>27.05</v>
      </c>
      <c r="M142" s="52">
        <f>(H142*(1+'Product Catalog'!H140)-L142)/(H142*(1+'Product Catalog'!H140))</f>
        <v>0.28571428571428564</v>
      </c>
      <c r="N142" s="53">
        <f t="shared" si="2"/>
        <v>0</v>
      </c>
    </row>
    <row r="143" spans="2:14" x14ac:dyDescent="0.2">
      <c r="B143" s="54" t="str">
        <f>'Product Catalog'!B141</f>
        <v>SKU-1138</v>
      </c>
      <c r="C143" s="54" t="str">
        <f>'Product Catalog'!C141</f>
        <v>Mango (Ataulfo)</v>
      </c>
      <c r="D143" s="54" t="str">
        <f>'Product Catalog'!D141</f>
        <v>Fruits</v>
      </c>
      <c r="E143" s="54" t="str">
        <f>'Product Catalog'!E141</f>
        <v>Mexico</v>
      </c>
      <c r="F143" s="55">
        <f>'Product Catalog'!F141</f>
        <v>22.08</v>
      </c>
      <c r="G143" s="55">
        <f>Methodology!$C$6</f>
        <v>4.5</v>
      </c>
      <c r="H143" s="56">
        <f>(F143+G143)*(1+VLOOKUP(E143,'Tariff Rates'!B:E,2,FALSE()))</f>
        <v>26.58</v>
      </c>
      <c r="I143" s="57">
        <f>'Product Catalog'!H141/(1+'Product Catalog'!H141)</f>
        <v>0.23076923076923075</v>
      </c>
      <c r="J143" s="56">
        <f>(F143+G143)*(1+VLOOKUP(E143,'Tariff Rates'!B:E,3,FALSE()))</f>
        <v>29.238</v>
      </c>
      <c r="K143" s="57">
        <f>(H143*(1+'Product Catalog'!H141)-J143)/(H143*(1+'Product Catalog'!H141))</f>
        <v>0.15384615384615391</v>
      </c>
      <c r="L143" s="56">
        <f>(F143+G143)*(1+VLOOKUP(E143,'Tariff Rates'!B:E,4,FALSE()))</f>
        <v>33.224999999999994</v>
      </c>
      <c r="M143" s="57">
        <f>(H143*(1+'Product Catalog'!H141)-L143)/(H143*(1+'Product Catalog'!H141))</f>
        <v>3.8461538461538686E-2</v>
      </c>
      <c r="N143" s="58">
        <f t="shared" si="2"/>
        <v>-0.19230769230769207</v>
      </c>
    </row>
    <row r="144" spans="2:14" x14ac:dyDescent="0.2">
      <c r="B144" s="49" t="str">
        <f>'Product Catalog'!B142</f>
        <v>SKU-1139</v>
      </c>
      <c r="C144" s="49" t="str">
        <f>'Product Catalog'!C142</f>
        <v>Mango (Kent)</v>
      </c>
      <c r="D144" s="49" t="str">
        <f>'Product Catalog'!D142</f>
        <v>Fruits</v>
      </c>
      <c r="E144" s="49" t="str">
        <f>'Product Catalog'!E142</f>
        <v>Ecuador</v>
      </c>
      <c r="F144" s="50">
        <f>'Product Catalog'!F142</f>
        <v>24.13</v>
      </c>
      <c r="G144" s="50">
        <f>Methodology!$C$6</f>
        <v>4.5</v>
      </c>
      <c r="H144" s="51">
        <f>(F144+G144)*(1+VLOOKUP(E144,'Tariff Rates'!B:E,2,FALSE()))</f>
        <v>30.061499999999999</v>
      </c>
      <c r="I144" s="52">
        <f>'Product Catalog'!H142/(1+'Product Catalog'!H142)</f>
        <v>0.23076923076923075</v>
      </c>
      <c r="J144" s="51">
        <f>(F144+G144)*(1+VLOOKUP(E144,'Tariff Rates'!B:E,3,FALSE()))</f>
        <v>32.924499999999995</v>
      </c>
      <c r="K144" s="52">
        <f>(H144*(1+'Product Catalog'!H142)-J144)/(H144*(1+'Product Catalog'!H142))</f>
        <v>0.15750915750915756</v>
      </c>
      <c r="L144" s="51">
        <f>(F144+G144)*(1+VLOOKUP(E144,'Tariff Rates'!B:E,4,FALSE()))</f>
        <v>34.355999999999995</v>
      </c>
      <c r="M144" s="52">
        <f>(H144*(1+'Product Catalog'!H142)-L144)/(H144*(1+'Product Catalog'!H142))</f>
        <v>0.12087912087912095</v>
      </c>
      <c r="N144" s="53">
        <f t="shared" si="2"/>
        <v>-0.10989010989010981</v>
      </c>
    </row>
    <row r="145" spans="2:14" x14ac:dyDescent="0.2">
      <c r="B145" s="54" t="str">
        <f>'Product Catalog'!B143</f>
        <v>SKU-1140</v>
      </c>
      <c r="C145" s="54" t="str">
        <f>'Product Catalog'!C143</f>
        <v>Mango (Tommy Atkins)</v>
      </c>
      <c r="D145" s="54" t="str">
        <f>'Product Catalog'!D143</f>
        <v>Fruits</v>
      </c>
      <c r="E145" s="54" t="str">
        <f>'Product Catalog'!E143</f>
        <v>Mexico</v>
      </c>
      <c r="F145" s="55">
        <f>'Product Catalog'!F143</f>
        <v>15.03</v>
      </c>
      <c r="G145" s="55">
        <f>Methodology!$C$6</f>
        <v>4.5</v>
      </c>
      <c r="H145" s="56">
        <f>(F145+G145)*(1+VLOOKUP(E145,'Tariff Rates'!B:E,2,FALSE()))</f>
        <v>19.53</v>
      </c>
      <c r="I145" s="57">
        <f>'Product Catalog'!H143/(1+'Product Catalog'!H143)</f>
        <v>0.23076923076923075</v>
      </c>
      <c r="J145" s="56">
        <f>(F145+G145)*(1+VLOOKUP(E145,'Tariff Rates'!B:E,3,FALSE()))</f>
        <v>21.483000000000004</v>
      </c>
      <c r="K145" s="57">
        <f>(H145*(1+'Product Catalog'!H143)-J145)/(H145*(1+'Product Catalog'!H143))</f>
        <v>0.15384615384615377</v>
      </c>
      <c r="L145" s="56">
        <f>(F145+G145)*(1+VLOOKUP(E145,'Tariff Rates'!B:E,4,FALSE()))</f>
        <v>24.412500000000001</v>
      </c>
      <c r="M145" s="57">
        <f>(H145*(1+'Product Catalog'!H143)-L145)/(H145*(1+'Product Catalog'!H143))</f>
        <v>3.8461538461538512E-2</v>
      </c>
      <c r="N145" s="58">
        <f t="shared" si="2"/>
        <v>-0.19230769230769224</v>
      </c>
    </row>
    <row r="146" spans="2:14" x14ac:dyDescent="0.2">
      <c r="B146" s="49" t="str">
        <f>'Product Catalog'!B144</f>
        <v>SKU-1141</v>
      </c>
      <c r="C146" s="49" t="str">
        <f>'Product Catalog'!C144</f>
        <v>Papaya (Maradol)</v>
      </c>
      <c r="D146" s="49" t="str">
        <f>'Product Catalog'!D144</f>
        <v>Fruits</v>
      </c>
      <c r="E146" s="49" t="str">
        <f>'Product Catalog'!E144</f>
        <v>Mexico</v>
      </c>
      <c r="F146" s="50">
        <f>'Product Catalog'!F144</f>
        <v>21.8</v>
      </c>
      <c r="G146" s="50">
        <f>Methodology!$C$6</f>
        <v>4.5</v>
      </c>
      <c r="H146" s="51">
        <f>(F146+G146)*(1+VLOOKUP(E146,'Tariff Rates'!B:E,2,FALSE()))</f>
        <v>26.3</v>
      </c>
      <c r="I146" s="52">
        <f>'Product Catalog'!H144/(1+'Product Catalog'!H144)</f>
        <v>0.23076923076923075</v>
      </c>
      <c r="J146" s="51">
        <f>(F146+G146)*(1+VLOOKUP(E146,'Tariff Rates'!B:E,3,FALSE()))</f>
        <v>28.930000000000003</v>
      </c>
      <c r="K146" s="52">
        <f>(H146*(1+'Product Catalog'!H144)-J146)/(H146*(1+'Product Catalog'!H144))</f>
        <v>0.15384615384615388</v>
      </c>
      <c r="L146" s="51">
        <f>(F146+G146)*(1+VLOOKUP(E146,'Tariff Rates'!B:E,4,FALSE()))</f>
        <v>32.875</v>
      </c>
      <c r="M146" s="52">
        <f>(H146*(1+'Product Catalog'!H144)-L146)/(H146*(1+'Product Catalog'!H144))</f>
        <v>3.8461538461538596E-2</v>
      </c>
      <c r="N146" s="53">
        <f t="shared" si="2"/>
        <v>-0.19230769230769215</v>
      </c>
    </row>
    <row r="147" spans="2:14" x14ac:dyDescent="0.2">
      <c r="B147" s="54" t="str">
        <f>'Product Catalog'!B145</f>
        <v>SKU-1142</v>
      </c>
      <c r="C147" s="54" t="str">
        <f>'Product Catalog'!C145</f>
        <v>Papaya (Hawaiian)</v>
      </c>
      <c r="D147" s="54" t="str">
        <f>'Product Catalog'!D145</f>
        <v>Fruits</v>
      </c>
      <c r="E147" s="54" t="str">
        <f>'Product Catalog'!E145</f>
        <v>USA</v>
      </c>
      <c r="F147" s="55">
        <f>'Product Catalog'!F145</f>
        <v>29.5</v>
      </c>
      <c r="G147" s="55">
        <f>Methodology!$C$6</f>
        <v>4.5</v>
      </c>
      <c r="H147" s="56">
        <f>(F147+G147)*(1+VLOOKUP(E147,'Tariff Rates'!B:E,2,FALSE()))</f>
        <v>34</v>
      </c>
      <c r="I147" s="57">
        <f>'Product Catalog'!H145/(1+'Product Catalog'!H145)</f>
        <v>0.23076923076923075</v>
      </c>
      <c r="J147" s="56">
        <f>(F147+G147)*(1+VLOOKUP(E147,'Tariff Rates'!B:E,3,FALSE()))</f>
        <v>34</v>
      </c>
      <c r="K147" s="57">
        <f>(H147*(1+'Product Catalog'!H145)-J147)/(H147*(1+'Product Catalog'!H145))</f>
        <v>0.23076923076923081</v>
      </c>
      <c r="L147" s="56">
        <f>(F147+G147)*(1+VLOOKUP(E147,'Tariff Rates'!B:E,4,FALSE()))</f>
        <v>34</v>
      </c>
      <c r="M147" s="57">
        <f>(H147*(1+'Product Catalog'!H145)-L147)/(H147*(1+'Product Catalog'!H145))</f>
        <v>0.23076923076923081</v>
      </c>
      <c r="N147" s="58">
        <f t="shared" si="2"/>
        <v>0</v>
      </c>
    </row>
    <row r="148" spans="2:14" x14ac:dyDescent="0.2">
      <c r="B148" s="49" t="str">
        <f>'Product Catalog'!B146</f>
        <v>SKU-1143</v>
      </c>
      <c r="C148" s="49" t="str">
        <f>'Product Catalog'!C146</f>
        <v>Pineapple</v>
      </c>
      <c r="D148" s="49" t="str">
        <f>'Product Catalog'!D146</f>
        <v>Fruits</v>
      </c>
      <c r="E148" s="49" t="str">
        <f>'Product Catalog'!E146</f>
        <v>Costa Rica</v>
      </c>
      <c r="F148" s="50">
        <f>'Product Catalog'!F146</f>
        <v>16.12</v>
      </c>
      <c r="G148" s="50">
        <f>Methodology!$C$6</f>
        <v>4.5</v>
      </c>
      <c r="H148" s="51">
        <f>(F148+G148)*(1+VLOOKUP(E148,'Tariff Rates'!B:E,2,FALSE()))</f>
        <v>20.62</v>
      </c>
      <c r="I148" s="52">
        <f>'Product Catalog'!H146/(1+'Product Catalog'!H146)</f>
        <v>0.23076923076923075</v>
      </c>
      <c r="J148" s="51">
        <f>(F148+G148)*(1+VLOOKUP(E148,'Tariff Rates'!B:E,3,FALSE()))</f>
        <v>22.682000000000002</v>
      </c>
      <c r="K148" s="52">
        <f>(H148*(1+'Product Catalog'!H146)-J148)/(H148*(1+'Product Catalog'!H146))</f>
        <v>0.1538461538461538</v>
      </c>
      <c r="L148" s="51">
        <f>(F148+G148)*(1+VLOOKUP(E148,'Tariff Rates'!B:E,4,FALSE()))</f>
        <v>23.713000000000001</v>
      </c>
      <c r="M148" s="52">
        <f>(H148*(1+'Product Catalog'!H146)-L148)/(H148*(1+'Product Catalog'!H146))</f>
        <v>0.11538461538461538</v>
      </c>
      <c r="N148" s="53">
        <f t="shared" si="2"/>
        <v>-0.11538461538461538</v>
      </c>
    </row>
    <row r="149" spans="2:14" x14ac:dyDescent="0.2">
      <c r="B149" s="54" t="str">
        <f>'Product Catalog'!B147</f>
        <v>SKU-1144</v>
      </c>
      <c r="C149" s="54" t="str">
        <f>'Product Catalog'!C147</f>
        <v>Pineapple (Golden)</v>
      </c>
      <c r="D149" s="54" t="str">
        <f>'Product Catalog'!D147</f>
        <v>Fruits</v>
      </c>
      <c r="E149" s="54" t="str">
        <f>'Product Catalog'!E147</f>
        <v>Costa Rica</v>
      </c>
      <c r="F149" s="55">
        <f>'Product Catalog'!F147</f>
        <v>24.98</v>
      </c>
      <c r="G149" s="55">
        <f>Methodology!$C$6</f>
        <v>4.5</v>
      </c>
      <c r="H149" s="56">
        <f>(F149+G149)*(1+VLOOKUP(E149,'Tariff Rates'!B:E,2,FALSE()))</f>
        <v>29.48</v>
      </c>
      <c r="I149" s="57">
        <f>'Product Catalog'!H147/(1+'Product Catalog'!H147)</f>
        <v>0.23076923076923075</v>
      </c>
      <c r="J149" s="56">
        <f>(F149+G149)*(1+VLOOKUP(E149,'Tariff Rates'!B:E,3,FALSE()))</f>
        <v>32.428000000000004</v>
      </c>
      <c r="K149" s="57">
        <f>(H149*(1+'Product Catalog'!H147)-J149)/(H149*(1+'Product Catalog'!H147))</f>
        <v>0.15384615384615385</v>
      </c>
      <c r="L149" s="56">
        <f>(F149+G149)*(1+VLOOKUP(E149,'Tariff Rates'!B:E,4,FALSE()))</f>
        <v>33.902000000000001</v>
      </c>
      <c r="M149" s="57">
        <f>(H149*(1+'Product Catalog'!H147)-L149)/(H149*(1+'Product Catalog'!H147))</f>
        <v>0.11538461538461547</v>
      </c>
      <c r="N149" s="58">
        <f t="shared" si="2"/>
        <v>-0.11538461538461528</v>
      </c>
    </row>
    <row r="150" spans="2:14" x14ac:dyDescent="0.2">
      <c r="B150" s="49" t="str">
        <f>'Product Catalog'!B148</f>
        <v>SKU-1145</v>
      </c>
      <c r="C150" s="49" t="str">
        <f>'Product Catalog'!C148</f>
        <v>Banana</v>
      </c>
      <c r="D150" s="49" t="str">
        <f>'Product Catalog'!D148</f>
        <v>Fruits</v>
      </c>
      <c r="E150" s="49" t="str">
        <f>'Product Catalog'!E148</f>
        <v>Ecuador</v>
      </c>
      <c r="F150" s="50">
        <f>'Product Catalog'!F148</f>
        <v>16.54</v>
      </c>
      <c r="G150" s="50">
        <f>Methodology!$C$6</f>
        <v>4.5</v>
      </c>
      <c r="H150" s="51">
        <f>(F150+G150)*(1+VLOOKUP(E150,'Tariff Rates'!B:E,2,FALSE()))</f>
        <v>22.091999999999999</v>
      </c>
      <c r="I150" s="52">
        <f>'Product Catalog'!H148/(1+'Product Catalog'!H148)</f>
        <v>0.23076923076923075</v>
      </c>
      <c r="J150" s="51">
        <f>(F150+G150)*(1+VLOOKUP(E150,'Tariff Rates'!B:E,3,FALSE()))</f>
        <v>24.195999999999998</v>
      </c>
      <c r="K150" s="52">
        <f>(H150*(1+'Product Catalog'!H148)-J150)/(H150*(1+'Product Catalog'!H148))</f>
        <v>0.15750915750915759</v>
      </c>
      <c r="L150" s="51">
        <f>(F150+G150)*(1+VLOOKUP(E150,'Tariff Rates'!B:E,4,FALSE()))</f>
        <v>25.247999999999998</v>
      </c>
      <c r="M150" s="52">
        <f>(H150*(1+'Product Catalog'!H148)-L150)/(H150*(1+'Product Catalog'!H148))</f>
        <v>0.12087912087912096</v>
      </c>
      <c r="N150" s="53">
        <f t="shared" si="2"/>
        <v>-0.10989010989010979</v>
      </c>
    </row>
    <row r="151" spans="2:14" x14ac:dyDescent="0.2">
      <c r="B151" s="54" t="str">
        <f>'Product Catalog'!B149</f>
        <v>SKU-1146</v>
      </c>
      <c r="C151" s="54" t="str">
        <f>'Product Catalog'!C149</f>
        <v>Baby Banana</v>
      </c>
      <c r="D151" s="54" t="str">
        <f>'Product Catalog'!D149</f>
        <v>Fruits</v>
      </c>
      <c r="E151" s="54" t="str">
        <f>'Product Catalog'!E149</f>
        <v>Ecuador</v>
      </c>
      <c r="F151" s="55">
        <f>'Product Catalog'!F149</f>
        <v>19.690000000000001</v>
      </c>
      <c r="G151" s="55">
        <f>Methodology!$C$6</f>
        <v>4.5</v>
      </c>
      <c r="H151" s="56">
        <f>(F151+G151)*(1+VLOOKUP(E151,'Tariff Rates'!B:E,2,FALSE()))</f>
        <v>25.399500000000003</v>
      </c>
      <c r="I151" s="57">
        <f>'Product Catalog'!H149/(1+'Product Catalog'!H149)</f>
        <v>0.23076923076923075</v>
      </c>
      <c r="J151" s="56">
        <f>(F151+G151)*(1+VLOOKUP(E151,'Tariff Rates'!B:E,3,FALSE()))</f>
        <v>27.8185</v>
      </c>
      <c r="K151" s="57">
        <f>(H151*(1+'Product Catalog'!H149)-J151)/(H151*(1+'Product Catalog'!H149))</f>
        <v>0.15750915750915759</v>
      </c>
      <c r="L151" s="56">
        <f>(F151+G151)*(1+VLOOKUP(E151,'Tariff Rates'!B:E,4,FALSE()))</f>
        <v>29.027999999999999</v>
      </c>
      <c r="M151" s="57">
        <f>(H151*(1+'Product Catalog'!H149)-L151)/(H151*(1+'Product Catalog'!H149))</f>
        <v>0.12087912087912099</v>
      </c>
      <c r="N151" s="58">
        <f t="shared" si="2"/>
        <v>-0.10989010989010976</v>
      </c>
    </row>
    <row r="152" spans="2:14" x14ac:dyDescent="0.2">
      <c r="B152" s="49" t="str">
        <f>'Product Catalog'!B150</f>
        <v>SKU-1147</v>
      </c>
      <c r="C152" s="49" t="str">
        <f>'Product Catalog'!C150</f>
        <v>Plantain</v>
      </c>
      <c r="D152" s="49" t="str">
        <f>'Product Catalog'!D150</f>
        <v>Fruits</v>
      </c>
      <c r="E152" s="49" t="str">
        <f>'Product Catalog'!E150</f>
        <v>Ecuador</v>
      </c>
      <c r="F152" s="50">
        <f>'Product Catalog'!F150</f>
        <v>20.309999999999999</v>
      </c>
      <c r="G152" s="50">
        <f>Methodology!$C$6</f>
        <v>4.5</v>
      </c>
      <c r="H152" s="51">
        <f>(F152+G152)*(1+VLOOKUP(E152,'Tariff Rates'!B:E,2,FALSE()))</f>
        <v>26.0505</v>
      </c>
      <c r="I152" s="52">
        <f>'Product Catalog'!H150/(1+'Product Catalog'!H150)</f>
        <v>0.23076923076923075</v>
      </c>
      <c r="J152" s="51">
        <f>(F152+G152)*(1+VLOOKUP(E152,'Tariff Rates'!B:E,3,FALSE()))</f>
        <v>28.531499999999998</v>
      </c>
      <c r="K152" s="52">
        <f>(H152*(1+'Product Catalog'!H150)-J152)/(H152*(1+'Product Catalog'!H150))</f>
        <v>0.15750915750915764</v>
      </c>
      <c r="L152" s="51">
        <f>(F152+G152)*(1+VLOOKUP(E152,'Tariff Rates'!B:E,4,FALSE()))</f>
        <v>29.771999999999998</v>
      </c>
      <c r="M152" s="52">
        <f>(H152*(1+'Product Catalog'!H150)-L152)/(H152*(1+'Product Catalog'!H150))</f>
        <v>0.12087912087912098</v>
      </c>
      <c r="N152" s="53">
        <f t="shared" si="2"/>
        <v>-0.10989010989010978</v>
      </c>
    </row>
    <row r="153" spans="2:14" x14ac:dyDescent="0.2">
      <c r="B153" s="54" t="str">
        <f>'Product Catalog'!B151</f>
        <v>SKU-1148</v>
      </c>
      <c r="C153" s="54" t="str">
        <f>'Product Catalog'!C151</f>
        <v>Dragon Fruit (White)</v>
      </c>
      <c r="D153" s="54" t="str">
        <f>'Product Catalog'!D151</f>
        <v>Fruits</v>
      </c>
      <c r="E153" s="54" t="str">
        <f>'Product Catalog'!E151</f>
        <v>Vietnam</v>
      </c>
      <c r="F153" s="55">
        <f>'Product Catalog'!F151</f>
        <v>53.68</v>
      </c>
      <c r="G153" s="55">
        <f>Methodology!$C$6</f>
        <v>4.5</v>
      </c>
      <c r="H153" s="56">
        <f>(F153+G153)*(1+VLOOKUP(E153,'Tariff Rates'!B:E,2,FALSE()))</f>
        <v>61.089000000000006</v>
      </c>
      <c r="I153" s="57">
        <f>'Product Catalog'!H151/(1+'Product Catalog'!H151)</f>
        <v>0.23076923076923075</v>
      </c>
      <c r="J153" s="56">
        <f>(F153+G153)*(1+VLOOKUP(E153,'Tariff Rates'!B:E,3,FALSE()))</f>
        <v>69.816000000000003</v>
      </c>
      <c r="K153" s="57">
        <f>(H153*(1+'Product Catalog'!H151)-J153)/(H153*(1+'Product Catalog'!H151))</f>
        <v>0.12087912087912102</v>
      </c>
      <c r="L153" s="56">
        <f>(F153+G153)*(1+VLOOKUP(E153,'Tariff Rates'!B:E,4,FALSE()))</f>
        <v>84.942799999999991</v>
      </c>
      <c r="M153" s="57">
        <f>(H153*(1+'Product Catalog'!H151)-L153)/(H153*(1+'Product Catalog'!H151))</f>
        <v>-6.959706959706928E-2</v>
      </c>
      <c r="N153" s="58">
        <f t="shared" si="2"/>
        <v>-0.30036630036630002</v>
      </c>
    </row>
    <row r="154" spans="2:14" x14ac:dyDescent="0.2">
      <c r="B154" s="49" t="str">
        <f>'Product Catalog'!B152</f>
        <v>SKU-1149</v>
      </c>
      <c r="C154" s="49" t="str">
        <f>'Product Catalog'!C152</f>
        <v>Dragon Fruit (Red)</v>
      </c>
      <c r="D154" s="49" t="str">
        <f>'Product Catalog'!D152</f>
        <v>Fruits</v>
      </c>
      <c r="E154" s="49" t="str">
        <f>'Product Catalog'!E152</f>
        <v>Vietnam</v>
      </c>
      <c r="F154" s="50">
        <f>'Product Catalog'!F152</f>
        <v>51.42</v>
      </c>
      <c r="G154" s="50">
        <f>Methodology!$C$6</f>
        <v>4.5</v>
      </c>
      <c r="H154" s="51">
        <f>(F154+G154)*(1+VLOOKUP(E154,'Tariff Rates'!B:E,2,FALSE()))</f>
        <v>58.716000000000001</v>
      </c>
      <c r="I154" s="52">
        <f>'Product Catalog'!H152/(1+'Product Catalog'!H152)</f>
        <v>0.23076923076923075</v>
      </c>
      <c r="J154" s="51">
        <f>(F154+G154)*(1+VLOOKUP(E154,'Tariff Rates'!B:E,3,FALSE()))</f>
        <v>67.103999999999999</v>
      </c>
      <c r="K154" s="52">
        <f>(H154*(1+'Product Catalog'!H152)-J154)/(H154*(1+'Product Catalog'!H152))</f>
        <v>0.12087912087912102</v>
      </c>
      <c r="L154" s="51">
        <f>(F154+G154)*(1+VLOOKUP(E154,'Tariff Rates'!B:E,4,FALSE()))</f>
        <v>81.643200000000007</v>
      </c>
      <c r="M154" s="52">
        <f>(H154*(1+'Product Catalog'!H152)-L154)/(H154*(1+'Product Catalog'!H152))</f>
        <v>-6.9597069597069544E-2</v>
      </c>
      <c r="N154" s="53">
        <f t="shared" si="2"/>
        <v>-0.3003663003663003</v>
      </c>
    </row>
    <row r="155" spans="2:14" x14ac:dyDescent="0.2">
      <c r="B155" s="54" t="str">
        <f>'Product Catalog'!B153</f>
        <v>SKU-1150</v>
      </c>
      <c r="C155" s="54" t="str">
        <f>'Product Catalog'!C153</f>
        <v>Lychee</v>
      </c>
      <c r="D155" s="54" t="str">
        <f>'Product Catalog'!D153</f>
        <v>Fruits</v>
      </c>
      <c r="E155" s="54" t="str">
        <f>'Product Catalog'!E153</f>
        <v>Mexico</v>
      </c>
      <c r="F155" s="55">
        <f>'Product Catalog'!F153</f>
        <v>54.23</v>
      </c>
      <c r="G155" s="55">
        <f>Methodology!$C$6</f>
        <v>4.5</v>
      </c>
      <c r="H155" s="56">
        <f>(F155+G155)*(1+VLOOKUP(E155,'Tariff Rates'!B:E,2,FALSE()))</f>
        <v>58.73</v>
      </c>
      <c r="I155" s="57">
        <f>'Product Catalog'!H153/(1+'Product Catalog'!H153)</f>
        <v>0.23076923076923075</v>
      </c>
      <c r="J155" s="56">
        <f>(F155+G155)*(1+VLOOKUP(E155,'Tariff Rates'!B:E,3,FALSE()))</f>
        <v>64.603000000000009</v>
      </c>
      <c r="K155" s="57">
        <f>(H155*(1+'Product Catalog'!H153)-J155)/(H155*(1+'Product Catalog'!H153))</f>
        <v>0.15384615384615377</v>
      </c>
      <c r="L155" s="56">
        <f>(F155+G155)*(1+VLOOKUP(E155,'Tariff Rates'!B:E,4,FALSE()))</f>
        <v>73.412499999999994</v>
      </c>
      <c r="M155" s="57">
        <f>(H155*(1+'Product Catalog'!H153)-L155)/(H155*(1+'Product Catalog'!H153))</f>
        <v>3.8461538461538582E-2</v>
      </c>
      <c r="N155" s="58">
        <f t="shared" si="2"/>
        <v>-0.19230769230769218</v>
      </c>
    </row>
    <row r="156" spans="2:14" x14ac:dyDescent="0.2">
      <c r="B156" s="49" t="str">
        <f>'Product Catalog'!B154</f>
        <v>SKU-1151</v>
      </c>
      <c r="C156" s="49" t="str">
        <f>'Product Catalog'!C154</f>
        <v>Longan</v>
      </c>
      <c r="D156" s="49" t="str">
        <f>'Product Catalog'!D154</f>
        <v>Fruits</v>
      </c>
      <c r="E156" s="49" t="str">
        <f>'Product Catalog'!E154</f>
        <v>Thailand</v>
      </c>
      <c r="F156" s="50">
        <f>'Product Catalog'!F154</f>
        <v>71.900000000000006</v>
      </c>
      <c r="G156" s="50">
        <f>Methodology!$C$6</f>
        <v>4.5</v>
      </c>
      <c r="H156" s="51">
        <f>(F156+G156)*(1+VLOOKUP(E156,'Tariff Rates'!B:E,2,FALSE()))</f>
        <v>80.220000000000013</v>
      </c>
      <c r="I156" s="52">
        <f>'Product Catalog'!H154/(1+'Product Catalog'!H154)</f>
        <v>0.23076923076923075</v>
      </c>
      <c r="J156" s="51">
        <f>(F156+G156)*(1+VLOOKUP(E156,'Tariff Rates'!B:E,3,FALSE()))</f>
        <v>87.86</v>
      </c>
      <c r="K156" s="52">
        <f>(H156*(1+'Product Catalog'!H154)-J156)/(H156*(1+'Product Catalog'!H154))</f>
        <v>0.15750915750915764</v>
      </c>
      <c r="L156" s="51">
        <f>(F156+G156)*(1+VLOOKUP(E156,'Tariff Rates'!B:E,4,FALSE()))</f>
        <v>95.5</v>
      </c>
      <c r="M156" s="52">
        <f>(H156*(1+'Product Catalog'!H154)-L156)/(H156*(1+'Product Catalog'!H154))</f>
        <v>8.424908424908438E-2</v>
      </c>
      <c r="N156" s="53">
        <f t="shared" si="2"/>
        <v>-0.14652014652014639</v>
      </c>
    </row>
    <row r="157" spans="2:14" x14ac:dyDescent="0.2">
      <c r="B157" s="54" t="str">
        <f>'Product Catalog'!B155</f>
        <v>SKU-1152</v>
      </c>
      <c r="C157" s="54" t="str">
        <f>'Product Catalog'!C155</f>
        <v>Rambutan</v>
      </c>
      <c r="D157" s="54" t="str">
        <f>'Product Catalog'!D155</f>
        <v>Fruits</v>
      </c>
      <c r="E157" s="54" t="str">
        <f>'Product Catalog'!E155</f>
        <v>Thailand</v>
      </c>
      <c r="F157" s="55">
        <f>'Product Catalog'!F155</f>
        <v>70.3</v>
      </c>
      <c r="G157" s="55">
        <f>Methodology!$C$6</f>
        <v>4.5</v>
      </c>
      <c r="H157" s="56">
        <f>(F157+G157)*(1+VLOOKUP(E157,'Tariff Rates'!B:E,2,FALSE()))</f>
        <v>78.540000000000006</v>
      </c>
      <c r="I157" s="57">
        <f>'Product Catalog'!H155/(1+'Product Catalog'!H155)</f>
        <v>0.23076923076923075</v>
      </c>
      <c r="J157" s="56">
        <f>(F157+G157)*(1+VLOOKUP(E157,'Tariff Rates'!B:E,3,FALSE()))</f>
        <v>86.02</v>
      </c>
      <c r="K157" s="57">
        <f>(H157*(1+'Product Catalog'!H155)-J157)/(H157*(1+'Product Catalog'!H155))</f>
        <v>0.1575091575091577</v>
      </c>
      <c r="L157" s="56">
        <f>(F157+G157)*(1+VLOOKUP(E157,'Tariff Rates'!B:E,4,FALSE()))</f>
        <v>93.5</v>
      </c>
      <c r="M157" s="57">
        <f>(H157*(1+'Product Catalog'!H155)-L157)/(H157*(1+'Product Catalog'!H155))</f>
        <v>8.4249084249084408E-2</v>
      </c>
      <c r="N157" s="58">
        <f t="shared" si="2"/>
        <v>-0.14652014652014633</v>
      </c>
    </row>
    <row r="158" spans="2:14" x14ac:dyDescent="0.2">
      <c r="B158" s="49" t="str">
        <f>'Product Catalog'!B156</f>
        <v>SKU-1153</v>
      </c>
      <c r="C158" s="49" t="str">
        <f>'Product Catalog'!C156</f>
        <v>Mangosteen</v>
      </c>
      <c r="D158" s="49" t="str">
        <f>'Product Catalog'!D156</f>
        <v>Fruits</v>
      </c>
      <c r="E158" s="49" t="str">
        <f>'Product Catalog'!E156</f>
        <v>Thailand</v>
      </c>
      <c r="F158" s="50">
        <f>'Product Catalog'!F156</f>
        <v>93.14</v>
      </c>
      <c r="G158" s="50">
        <f>Methodology!$C$6</f>
        <v>4.5</v>
      </c>
      <c r="H158" s="51">
        <f>(F158+G158)*(1+VLOOKUP(E158,'Tariff Rates'!B:E,2,FALSE()))</f>
        <v>102.52200000000001</v>
      </c>
      <c r="I158" s="52">
        <f>'Product Catalog'!H156/(1+'Product Catalog'!H156)</f>
        <v>0.23076923076923075</v>
      </c>
      <c r="J158" s="51">
        <f>(F158+G158)*(1+VLOOKUP(E158,'Tariff Rates'!B:E,3,FALSE()))</f>
        <v>112.28599999999999</v>
      </c>
      <c r="K158" s="52">
        <f>(H158*(1+'Product Catalog'!H156)-J158)/(H158*(1+'Product Catalog'!H156))</f>
        <v>0.15750915750915767</v>
      </c>
      <c r="L158" s="51">
        <f>(F158+G158)*(1+VLOOKUP(E158,'Tariff Rates'!B:E,4,FALSE()))</f>
        <v>122.05</v>
      </c>
      <c r="M158" s="52">
        <f>(H158*(1+'Product Catalog'!H156)-L158)/(H158*(1+'Product Catalog'!H156))</f>
        <v>8.4249084249084352E-2</v>
      </c>
      <c r="N158" s="53">
        <f t="shared" si="2"/>
        <v>-0.14652014652014639</v>
      </c>
    </row>
    <row r="159" spans="2:14" x14ac:dyDescent="0.2">
      <c r="B159" s="54" t="str">
        <f>'Product Catalog'!B157</f>
        <v>SKU-1154</v>
      </c>
      <c r="C159" s="54" t="str">
        <f>'Product Catalog'!C157</f>
        <v>Passion Fruit</v>
      </c>
      <c r="D159" s="54" t="str">
        <f>'Product Catalog'!D157</f>
        <v>Fruits</v>
      </c>
      <c r="E159" s="54" t="str">
        <f>'Product Catalog'!E157</f>
        <v>Colombia</v>
      </c>
      <c r="F159" s="55">
        <f>'Product Catalog'!F157</f>
        <v>45.25</v>
      </c>
      <c r="G159" s="55">
        <f>Methodology!$C$6</f>
        <v>4.5</v>
      </c>
      <c r="H159" s="56">
        <f>(F159+G159)*(1+VLOOKUP(E159,'Tariff Rates'!B:E,2,FALSE()))</f>
        <v>52.237500000000004</v>
      </c>
      <c r="I159" s="57">
        <f>'Product Catalog'!H157/(1+'Product Catalog'!H157)</f>
        <v>0.23076923076923075</v>
      </c>
      <c r="J159" s="56">
        <f>(F159+G159)*(1+VLOOKUP(E159,'Tariff Rates'!B:E,3,FALSE()))</f>
        <v>57.212499999999999</v>
      </c>
      <c r="K159" s="57">
        <f>(H159*(1+'Product Catalog'!H157)-J159)/(H159*(1+'Product Catalog'!H157))</f>
        <v>0.15750915750915767</v>
      </c>
      <c r="L159" s="56">
        <f>(F159+G159)*(1+VLOOKUP(E159,'Tariff Rates'!B:E,4,FALSE()))</f>
        <v>59.699999999999996</v>
      </c>
      <c r="M159" s="57">
        <f>(H159*(1+'Product Catalog'!H157)-L159)/(H159*(1+'Product Catalog'!H157))</f>
        <v>0.1208791208791211</v>
      </c>
      <c r="N159" s="58">
        <f t="shared" si="2"/>
        <v>-0.10989010989010965</v>
      </c>
    </row>
    <row r="160" spans="2:14" x14ac:dyDescent="0.2">
      <c r="B160" s="49" t="str">
        <f>'Product Catalog'!B158</f>
        <v>SKU-1155</v>
      </c>
      <c r="C160" s="49" t="str">
        <f>'Product Catalog'!C158</f>
        <v>Guava</v>
      </c>
      <c r="D160" s="49" t="str">
        <f>'Product Catalog'!D158</f>
        <v>Fruits</v>
      </c>
      <c r="E160" s="49" t="str">
        <f>'Product Catalog'!E158</f>
        <v>Mexico</v>
      </c>
      <c r="F160" s="50">
        <f>'Product Catalog'!F158</f>
        <v>25.21</v>
      </c>
      <c r="G160" s="50">
        <f>Methodology!$C$6</f>
        <v>4.5</v>
      </c>
      <c r="H160" s="51">
        <f>(F160+G160)*(1+VLOOKUP(E160,'Tariff Rates'!B:E,2,FALSE()))</f>
        <v>29.71</v>
      </c>
      <c r="I160" s="52">
        <f>'Product Catalog'!H158/(1+'Product Catalog'!H158)</f>
        <v>0.23076923076923075</v>
      </c>
      <c r="J160" s="51">
        <f>(F160+G160)*(1+VLOOKUP(E160,'Tariff Rates'!B:E,3,FALSE()))</f>
        <v>32.681000000000004</v>
      </c>
      <c r="K160" s="52">
        <f>(H160*(1+'Product Catalog'!H158)-J160)/(H160*(1+'Product Catalog'!H158))</f>
        <v>0.15384615384615383</v>
      </c>
      <c r="L160" s="51">
        <f>(F160+G160)*(1+VLOOKUP(E160,'Tariff Rates'!B:E,4,FALSE()))</f>
        <v>37.137500000000003</v>
      </c>
      <c r="M160" s="52">
        <f>(H160*(1+'Product Catalog'!H158)-L160)/(H160*(1+'Product Catalog'!H158))</f>
        <v>3.8461538461538505E-2</v>
      </c>
      <c r="N160" s="53">
        <f t="shared" si="2"/>
        <v>-0.19230769230769224</v>
      </c>
    </row>
    <row r="161" spans="2:14" x14ac:dyDescent="0.2">
      <c r="B161" s="54" t="str">
        <f>'Product Catalog'!B159</f>
        <v>SKU-1156</v>
      </c>
      <c r="C161" s="54" t="str">
        <f>'Product Catalog'!C159</f>
        <v>Persimmon (Fuyu)</v>
      </c>
      <c r="D161" s="54" t="str">
        <f>'Product Catalog'!D159</f>
        <v>Fruits</v>
      </c>
      <c r="E161" s="54" t="str">
        <f>'Product Catalog'!E159</f>
        <v>Spain</v>
      </c>
      <c r="F161" s="55">
        <f>'Product Catalog'!F159</f>
        <v>34.700000000000003</v>
      </c>
      <c r="G161" s="55">
        <f>Methodology!$C$6</f>
        <v>4.5</v>
      </c>
      <c r="H161" s="56">
        <f>(F161+G161)*(1+VLOOKUP(E161,'Tariff Rates'!B:E,2,FALSE()))</f>
        <v>41.160000000000004</v>
      </c>
      <c r="I161" s="57">
        <f>'Product Catalog'!H159/(1+'Product Catalog'!H159)</f>
        <v>0.23076923076923075</v>
      </c>
      <c r="J161" s="56">
        <f>(F161+G161)*(1+VLOOKUP(E161,'Tariff Rates'!B:E,3,FALSE()))</f>
        <v>45.08</v>
      </c>
      <c r="K161" s="57">
        <f>(H161*(1+'Product Catalog'!H159)-J161)/(H161*(1+'Product Catalog'!H159))</f>
        <v>0.1575091575091577</v>
      </c>
      <c r="L161" s="56">
        <f>(F161+G161)*(1+VLOOKUP(E161,'Tariff Rates'!B:E,4,FALSE()))</f>
        <v>47.04</v>
      </c>
      <c r="M161" s="57">
        <f>(H161*(1+'Product Catalog'!H159)-L161)/(H161*(1+'Product Catalog'!H159))</f>
        <v>0.12087912087912106</v>
      </c>
      <c r="N161" s="58">
        <f t="shared" si="2"/>
        <v>-0.10989010989010969</v>
      </c>
    </row>
    <row r="162" spans="2:14" x14ac:dyDescent="0.2">
      <c r="B162" s="49" t="str">
        <f>'Product Catalog'!B160</f>
        <v>SKU-1157</v>
      </c>
      <c r="C162" s="49" t="str">
        <f>'Product Catalog'!C160</f>
        <v>Persimmon (Hachiya)</v>
      </c>
      <c r="D162" s="49" t="str">
        <f>'Product Catalog'!D160</f>
        <v>Fruits</v>
      </c>
      <c r="E162" s="49" t="str">
        <f>'Product Catalog'!E160</f>
        <v>USA</v>
      </c>
      <c r="F162" s="50">
        <f>'Product Catalog'!F160</f>
        <v>38.06</v>
      </c>
      <c r="G162" s="50">
        <f>Methodology!$C$6</f>
        <v>4.5</v>
      </c>
      <c r="H162" s="51">
        <f>(F162+G162)*(1+VLOOKUP(E162,'Tariff Rates'!B:E,2,FALSE()))</f>
        <v>42.56</v>
      </c>
      <c r="I162" s="52">
        <f>'Product Catalog'!H160/(1+'Product Catalog'!H160)</f>
        <v>0.23076923076923075</v>
      </c>
      <c r="J162" s="51">
        <f>(F162+G162)*(1+VLOOKUP(E162,'Tariff Rates'!B:E,3,FALSE()))</f>
        <v>42.56</v>
      </c>
      <c r="K162" s="52">
        <f>(H162*(1+'Product Catalog'!H160)-J162)/(H162*(1+'Product Catalog'!H160))</f>
        <v>0.23076923076923078</v>
      </c>
      <c r="L162" s="51">
        <f>(F162+G162)*(1+VLOOKUP(E162,'Tariff Rates'!B:E,4,FALSE()))</f>
        <v>42.56</v>
      </c>
      <c r="M162" s="52">
        <f>(H162*(1+'Product Catalog'!H160)-L162)/(H162*(1+'Product Catalog'!H160))</f>
        <v>0.23076923076923078</v>
      </c>
      <c r="N162" s="53">
        <f t="shared" si="2"/>
        <v>0</v>
      </c>
    </row>
    <row r="163" spans="2:14" x14ac:dyDescent="0.2">
      <c r="B163" s="54" t="str">
        <f>'Product Catalog'!B161</f>
        <v>SKU-1158</v>
      </c>
      <c r="C163" s="54" t="str">
        <f>'Product Catalog'!C161</f>
        <v>Pomegranate</v>
      </c>
      <c r="D163" s="54" t="str">
        <f>'Product Catalog'!D161</f>
        <v>Fruits</v>
      </c>
      <c r="E163" s="54" t="str">
        <f>'Product Catalog'!E161</f>
        <v>USA</v>
      </c>
      <c r="F163" s="55">
        <f>'Product Catalog'!F161</f>
        <v>35.06</v>
      </c>
      <c r="G163" s="55">
        <f>Methodology!$C$6</f>
        <v>4.5</v>
      </c>
      <c r="H163" s="56">
        <f>(F163+G163)*(1+VLOOKUP(E163,'Tariff Rates'!B:E,2,FALSE()))</f>
        <v>39.56</v>
      </c>
      <c r="I163" s="57">
        <f>'Product Catalog'!H161/(1+'Product Catalog'!H161)</f>
        <v>0.23076923076923075</v>
      </c>
      <c r="J163" s="56">
        <f>(F163+G163)*(1+VLOOKUP(E163,'Tariff Rates'!B:E,3,FALSE()))</f>
        <v>39.56</v>
      </c>
      <c r="K163" s="57">
        <f>(H163*(1+'Product Catalog'!H161)-J163)/(H163*(1+'Product Catalog'!H161))</f>
        <v>0.23076923076923078</v>
      </c>
      <c r="L163" s="56">
        <f>(F163+G163)*(1+VLOOKUP(E163,'Tariff Rates'!B:E,4,FALSE()))</f>
        <v>39.56</v>
      </c>
      <c r="M163" s="57">
        <f>(H163*(1+'Product Catalog'!H161)-L163)/(H163*(1+'Product Catalog'!H161))</f>
        <v>0.23076923076923078</v>
      </c>
      <c r="N163" s="58">
        <f t="shared" si="2"/>
        <v>0</v>
      </c>
    </row>
    <row r="164" spans="2:14" x14ac:dyDescent="0.2">
      <c r="B164" s="49" t="str">
        <f>'Product Catalog'!B162</f>
        <v>SKU-1159</v>
      </c>
      <c r="C164" s="49" t="str">
        <f>'Product Catalog'!C162</f>
        <v>Kiwi (Green)</v>
      </c>
      <c r="D164" s="49" t="str">
        <f>'Product Catalog'!D162</f>
        <v>Fruits</v>
      </c>
      <c r="E164" s="49" t="str">
        <f>'Product Catalog'!E162</f>
        <v>Italy</v>
      </c>
      <c r="F164" s="50">
        <f>'Product Catalog'!F162</f>
        <v>24.3</v>
      </c>
      <c r="G164" s="50">
        <f>Methodology!$C$6</f>
        <v>4.5</v>
      </c>
      <c r="H164" s="51">
        <f>(F164+G164)*(1+VLOOKUP(E164,'Tariff Rates'!B:E,2,FALSE()))</f>
        <v>30.240000000000002</v>
      </c>
      <c r="I164" s="52">
        <f>'Product Catalog'!H162/(1+'Product Catalog'!H162)</f>
        <v>0.23076923076923075</v>
      </c>
      <c r="J164" s="51">
        <f>(F164+G164)*(1+VLOOKUP(E164,'Tariff Rates'!B:E,3,FALSE()))</f>
        <v>33.119999999999997</v>
      </c>
      <c r="K164" s="52">
        <f>(H164*(1+'Product Catalog'!H162)-J164)/(H164*(1+'Product Catalog'!H162))</f>
        <v>0.15750915750915767</v>
      </c>
      <c r="L164" s="51">
        <f>(F164+G164)*(1+VLOOKUP(E164,'Tariff Rates'!B:E,4,FALSE()))</f>
        <v>34.56</v>
      </c>
      <c r="M164" s="52">
        <f>(H164*(1+'Product Catalog'!H162)-L164)/(H164*(1+'Product Catalog'!H162))</f>
        <v>0.12087912087912092</v>
      </c>
      <c r="N164" s="53">
        <f t="shared" si="2"/>
        <v>-0.10989010989010983</v>
      </c>
    </row>
    <row r="165" spans="2:14" x14ac:dyDescent="0.2">
      <c r="B165" s="54" t="str">
        <f>'Product Catalog'!B163</f>
        <v>SKU-1160</v>
      </c>
      <c r="C165" s="54" t="str">
        <f>'Product Catalog'!C163</f>
        <v>Kiwi (Gold)</v>
      </c>
      <c r="D165" s="54" t="str">
        <f>'Product Catalog'!D163</f>
        <v>Fruits</v>
      </c>
      <c r="E165" s="54" t="str">
        <f>'Product Catalog'!E163</f>
        <v>Italy</v>
      </c>
      <c r="F165" s="55">
        <f>'Product Catalog'!F163</f>
        <v>30.64</v>
      </c>
      <c r="G165" s="55">
        <f>Methodology!$C$6</f>
        <v>4.5</v>
      </c>
      <c r="H165" s="56">
        <f>(F165+G165)*(1+VLOOKUP(E165,'Tariff Rates'!B:E,2,FALSE()))</f>
        <v>36.897000000000006</v>
      </c>
      <c r="I165" s="57">
        <f>'Product Catalog'!H163/(1+'Product Catalog'!H163)</f>
        <v>0.23076923076923075</v>
      </c>
      <c r="J165" s="56">
        <f>(F165+G165)*(1+VLOOKUP(E165,'Tariff Rates'!B:E,3,FALSE()))</f>
        <v>40.410999999999994</v>
      </c>
      <c r="K165" s="57">
        <f>(H165*(1+'Product Catalog'!H163)-J165)/(H165*(1+'Product Catalog'!H163))</f>
        <v>0.15750915750915784</v>
      </c>
      <c r="L165" s="56">
        <f>(F165+G165)*(1+VLOOKUP(E165,'Tariff Rates'!B:E,4,FALSE()))</f>
        <v>42.167999999999999</v>
      </c>
      <c r="M165" s="57">
        <f>(H165*(1+'Product Catalog'!H163)-L165)/(H165*(1+'Product Catalog'!H163))</f>
        <v>0.1208791208791211</v>
      </c>
      <c r="N165" s="58">
        <f t="shared" si="2"/>
        <v>-0.10989010989010965</v>
      </c>
    </row>
    <row r="166" spans="2:14" x14ac:dyDescent="0.2">
      <c r="B166" s="49" t="str">
        <f>'Product Catalog'!B164</f>
        <v>SKU-1161</v>
      </c>
      <c r="C166" s="49" t="str">
        <f>'Product Catalog'!C164</f>
        <v>Fig (Black Mission)</v>
      </c>
      <c r="D166" s="49" t="str">
        <f>'Product Catalog'!D164</f>
        <v>Fruits</v>
      </c>
      <c r="E166" s="49" t="str">
        <f>'Product Catalog'!E164</f>
        <v>USA</v>
      </c>
      <c r="F166" s="50">
        <f>'Product Catalog'!F164</f>
        <v>38.99</v>
      </c>
      <c r="G166" s="50">
        <f>Methodology!$C$6</f>
        <v>4.5</v>
      </c>
      <c r="H166" s="51">
        <f>(F166+G166)*(1+VLOOKUP(E166,'Tariff Rates'!B:E,2,FALSE()))</f>
        <v>43.49</v>
      </c>
      <c r="I166" s="52">
        <f>'Product Catalog'!H164/(1+'Product Catalog'!H164)</f>
        <v>0.23076923076923075</v>
      </c>
      <c r="J166" s="51">
        <f>(F166+G166)*(1+VLOOKUP(E166,'Tariff Rates'!B:E,3,FALSE()))</f>
        <v>43.49</v>
      </c>
      <c r="K166" s="52">
        <f>(H166*(1+'Product Catalog'!H164)-J166)/(H166*(1+'Product Catalog'!H164))</f>
        <v>0.23076923076923081</v>
      </c>
      <c r="L166" s="51">
        <f>(F166+G166)*(1+VLOOKUP(E166,'Tariff Rates'!B:E,4,FALSE()))</f>
        <v>43.49</v>
      </c>
      <c r="M166" s="52">
        <f>(H166*(1+'Product Catalog'!H164)-L166)/(H166*(1+'Product Catalog'!H164))</f>
        <v>0.23076923076923081</v>
      </c>
      <c r="N166" s="53">
        <f t="shared" si="2"/>
        <v>0</v>
      </c>
    </row>
    <row r="167" spans="2:14" x14ac:dyDescent="0.2">
      <c r="B167" s="54" t="str">
        <f>'Product Catalog'!B165</f>
        <v>SKU-1162</v>
      </c>
      <c r="C167" s="54" t="str">
        <f>'Product Catalog'!C165</f>
        <v>Fig (Turkish)</v>
      </c>
      <c r="D167" s="54" t="str">
        <f>'Product Catalog'!D165</f>
        <v>Fruits</v>
      </c>
      <c r="E167" s="54" t="str">
        <f>'Product Catalog'!E165</f>
        <v>Turkey</v>
      </c>
      <c r="F167" s="55">
        <f>'Product Catalog'!F165</f>
        <v>50.84</v>
      </c>
      <c r="G167" s="55">
        <f>Methodology!$C$6</f>
        <v>4.5</v>
      </c>
      <c r="H167" s="56">
        <f>(F167+G167)*(1+VLOOKUP(E167,'Tariff Rates'!B:E,2,FALSE()))</f>
        <v>58.107000000000006</v>
      </c>
      <c r="I167" s="57">
        <f>'Product Catalog'!H165/(1+'Product Catalog'!H165)</f>
        <v>0.23076923076923075</v>
      </c>
      <c r="J167" s="56">
        <f>(F167+G167)*(1+VLOOKUP(E167,'Tariff Rates'!B:E,3,FALSE()))</f>
        <v>66.408000000000001</v>
      </c>
      <c r="K167" s="57">
        <f>(H167*(1+'Product Catalog'!H165)-J167)/(H167*(1+'Product Catalog'!H165))</f>
        <v>0.12087912087912092</v>
      </c>
      <c r="L167" s="56">
        <f>(F167+G167)*(1+VLOOKUP(E167,'Tariff Rates'!B:E,4,FALSE()))</f>
        <v>71.942000000000007</v>
      </c>
      <c r="M167" s="57">
        <f>(H167*(1+'Product Catalog'!H165)-L167)/(H167*(1+'Product Catalog'!H165))</f>
        <v>4.7619047619047582E-2</v>
      </c>
      <c r="N167" s="58">
        <f t="shared" si="2"/>
        <v>-0.18315018315018317</v>
      </c>
    </row>
    <row r="168" spans="2:14" x14ac:dyDescent="0.2">
      <c r="B168" s="49" t="str">
        <f>'Product Catalog'!B166</f>
        <v>SKU-1163</v>
      </c>
      <c r="C168" s="49" t="str">
        <f>'Product Catalog'!C166</f>
        <v>Date (Medjool)</v>
      </c>
      <c r="D168" s="49" t="str">
        <f>'Product Catalog'!D166</f>
        <v>Fruits</v>
      </c>
      <c r="E168" s="49" t="str">
        <f>'Product Catalog'!E166</f>
        <v>USA</v>
      </c>
      <c r="F168" s="50">
        <f>'Product Catalog'!F166</f>
        <v>47.66</v>
      </c>
      <c r="G168" s="50">
        <f>Methodology!$C$6</f>
        <v>4.5</v>
      </c>
      <c r="H168" s="51">
        <f>(F168+G168)*(1+VLOOKUP(E168,'Tariff Rates'!B:E,2,FALSE()))</f>
        <v>52.16</v>
      </c>
      <c r="I168" s="52">
        <f>'Product Catalog'!H166/(1+'Product Catalog'!H166)</f>
        <v>0.23076923076923075</v>
      </c>
      <c r="J168" s="51">
        <f>(F168+G168)*(1+VLOOKUP(E168,'Tariff Rates'!B:E,3,FALSE()))</f>
        <v>52.16</v>
      </c>
      <c r="K168" s="52">
        <f>(H168*(1+'Product Catalog'!H166)-J168)/(H168*(1+'Product Catalog'!H166))</f>
        <v>0.23076923076923073</v>
      </c>
      <c r="L168" s="51">
        <f>(F168+G168)*(1+VLOOKUP(E168,'Tariff Rates'!B:E,4,FALSE()))</f>
        <v>52.16</v>
      </c>
      <c r="M168" s="52">
        <f>(H168*(1+'Product Catalog'!H166)-L168)/(H168*(1+'Product Catalog'!H166))</f>
        <v>0.23076923076923073</v>
      </c>
      <c r="N168" s="53">
        <f t="shared" si="2"/>
        <v>0</v>
      </c>
    </row>
    <row r="169" spans="2:14" x14ac:dyDescent="0.2">
      <c r="B169" s="54" t="str">
        <f>'Product Catalog'!B167</f>
        <v>SKU-1164</v>
      </c>
      <c r="C169" s="54" t="str">
        <f>'Product Catalog'!C167</f>
        <v>Avocado (Hass)</v>
      </c>
      <c r="D169" s="54" t="str">
        <f>'Product Catalog'!D167</f>
        <v>Fruits</v>
      </c>
      <c r="E169" s="54" t="str">
        <f>'Product Catalog'!E167</f>
        <v>Mexico</v>
      </c>
      <c r="F169" s="55">
        <f>'Product Catalog'!F167</f>
        <v>40.68</v>
      </c>
      <c r="G169" s="55">
        <f>Methodology!$C$6</f>
        <v>4.5</v>
      </c>
      <c r="H169" s="56">
        <f>(F169+G169)*(1+VLOOKUP(E169,'Tariff Rates'!B:E,2,FALSE()))</f>
        <v>45.18</v>
      </c>
      <c r="I169" s="57">
        <f>'Product Catalog'!H167/(1+'Product Catalog'!H167)</f>
        <v>0.23076923076923075</v>
      </c>
      <c r="J169" s="56">
        <f>(F169+G169)*(1+VLOOKUP(E169,'Tariff Rates'!B:E,3,FALSE()))</f>
        <v>49.698</v>
      </c>
      <c r="K169" s="57">
        <f>(H169*(1+'Product Catalog'!H167)-J169)/(H169*(1+'Product Catalog'!H167))</f>
        <v>0.15384615384615385</v>
      </c>
      <c r="L169" s="56">
        <f>(F169+G169)*(1+VLOOKUP(E169,'Tariff Rates'!B:E,4,FALSE()))</f>
        <v>56.475000000000001</v>
      </c>
      <c r="M169" s="57">
        <f>(H169*(1+'Product Catalog'!H167)-L169)/(H169*(1+'Product Catalog'!H167))</f>
        <v>3.8461538461538464E-2</v>
      </c>
      <c r="N169" s="58">
        <f t="shared" si="2"/>
        <v>-0.19230769230769229</v>
      </c>
    </row>
    <row r="170" spans="2:14" x14ac:dyDescent="0.2">
      <c r="B170" s="49" t="str">
        <f>'Product Catalog'!B168</f>
        <v>SKU-1165</v>
      </c>
      <c r="C170" s="49" t="str">
        <f>'Product Catalog'!C168</f>
        <v>Avocado (Bacon)</v>
      </c>
      <c r="D170" s="49" t="str">
        <f>'Product Catalog'!D168</f>
        <v>Fruits</v>
      </c>
      <c r="E170" s="49" t="str">
        <f>'Product Catalog'!E168</f>
        <v>Mexico</v>
      </c>
      <c r="F170" s="50">
        <f>'Product Catalog'!F168</f>
        <v>30.6</v>
      </c>
      <c r="G170" s="50">
        <f>Methodology!$C$6</f>
        <v>4.5</v>
      </c>
      <c r="H170" s="51">
        <f>(F170+G170)*(1+VLOOKUP(E170,'Tariff Rates'!B:E,2,FALSE()))</f>
        <v>35.1</v>
      </c>
      <c r="I170" s="52">
        <f>'Product Catalog'!H168/(1+'Product Catalog'!H168)</f>
        <v>0.23076923076923075</v>
      </c>
      <c r="J170" s="51">
        <f>(F170+G170)*(1+VLOOKUP(E170,'Tariff Rates'!B:E,3,FALSE()))</f>
        <v>38.610000000000007</v>
      </c>
      <c r="K170" s="52">
        <f>(H170*(1+'Product Catalog'!H168)-J170)/(H170*(1+'Product Catalog'!H168))</f>
        <v>0.15384615384615374</v>
      </c>
      <c r="L170" s="51">
        <f>(F170+G170)*(1+VLOOKUP(E170,'Tariff Rates'!B:E,4,FALSE()))</f>
        <v>43.875</v>
      </c>
      <c r="M170" s="52">
        <f>(H170*(1+'Product Catalog'!H168)-L170)/(H170*(1+'Product Catalog'!H168))</f>
        <v>3.8461538461538512E-2</v>
      </c>
      <c r="N170" s="53">
        <f t="shared" si="2"/>
        <v>-0.19230769230769224</v>
      </c>
    </row>
    <row r="171" spans="2:14" x14ac:dyDescent="0.2">
      <c r="B171" s="54" t="str">
        <f>'Product Catalog'!B169</f>
        <v>SKU-1166</v>
      </c>
      <c r="C171" s="54" t="str">
        <f>'Product Catalog'!C169</f>
        <v>Avocado (Fuerte)</v>
      </c>
      <c r="D171" s="54" t="str">
        <f>'Product Catalog'!D169</f>
        <v>Fruits</v>
      </c>
      <c r="E171" s="54" t="str">
        <f>'Product Catalog'!E169</f>
        <v>Mexico</v>
      </c>
      <c r="F171" s="55">
        <f>'Product Catalog'!F169</f>
        <v>24.71</v>
      </c>
      <c r="G171" s="55">
        <f>Methodology!$C$6</f>
        <v>4.5</v>
      </c>
      <c r="H171" s="56">
        <f>(F171+G171)*(1+VLOOKUP(E171,'Tariff Rates'!B:E,2,FALSE()))</f>
        <v>29.21</v>
      </c>
      <c r="I171" s="57">
        <f>'Product Catalog'!H169/(1+'Product Catalog'!H169)</f>
        <v>0.23076923076923075</v>
      </c>
      <c r="J171" s="56">
        <f>(F171+G171)*(1+VLOOKUP(E171,'Tariff Rates'!B:E,3,FALSE()))</f>
        <v>32.131</v>
      </c>
      <c r="K171" s="57">
        <f>(H171*(1+'Product Catalog'!H169)-J171)/(H171*(1+'Product Catalog'!H169))</f>
        <v>0.15384615384615383</v>
      </c>
      <c r="L171" s="56">
        <f>(F171+G171)*(1+VLOOKUP(E171,'Tariff Rates'!B:E,4,FALSE()))</f>
        <v>36.512500000000003</v>
      </c>
      <c r="M171" s="57">
        <f>(H171*(1+'Product Catalog'!H169)-L171)/(H171*(1+'Product Catalog'!H169))</f>
        <v>3.846153846153836E-2</v>
      </c>
      <c r="N171" s="58">
        <f t="shared" si="2"/>
        <v>-0.1923076923076924</v>
      </c>
    </row>
    <row r="172" spans="2:14" x14ac:dyDescent="0.2">
      <c r="B172" s="49" t="str">
        <f>'Product Catalog'!B170</f>
        <v>SKU-1167</v>
      </c>
      <c r="C172" s="49" t="str">
        <f>'Product Catalog'!C170</f>
        <v>Lime</v>
      </c>
      <c r="D172" s="49" t="str">
        <f>'Product Catalog'!D170</f>
        <v>Fruits</v>
      </c>
      <c r="E172" s="49" t="str">
        <f>'Product Catalog'!E170</f>
        <v>Mexico</v>
      </c>
      <c r="F172" s="50">
        <f>'Product Catalog'!F170</f>
        <v>17.899999999999999</v>
      </c>
      <c r="G172" s="50">
        <f>Methodology!$C$6</f>
        <v>4.5</v>
      </c>
      <c r="H172" s="51">
        <f>(F172+G172)*(1+VLOOKUP(E172,'Tariff Rates'!B:E,2,FALSE()))</f>
        <v>22.4</v>
      </c>
      <c r="I172" s="52">
        <f>'Product Catalog'!H170/(1+'Product Catalog'!H170)</f>
        <v>0.23076923076923075</v>
      </c>
      <c r="J172" s="51">
        <f>(F172+G172)*(1+VLOOKUP(E172,'Tariff Rates'!B:E,3,FALSE()))</f>
        <v>24.64</v>
      </c>
      <c r="K172" s="52">
        <f>(H172*(1+'Product Catalog'!H170)-J172)/(H172*(1+'Product Catalog'!H170))</f>
        <v>0.15384615384615374</v>
      </c>
      <c r="L172" s="51">
        <f>(F172+G172)*(1+VLOOKUP(E172,'Tariff Rates'!B:E,4,FALSE()))</f>
        <v>28</v>
      </c>
      <c r="M172" s="52">
        <f>(H172*(1+'Product Catalog'!H170)-L172)/(H172*(1+'Product Catalog'!H170))</f>
        <v>3.846153846153838E-2</v>
      </c>
      <c r="N172" s="53">
        <f t="shared" si="2"/>
        <v>-0.19230769230769237</v>
      </c>
    </row>
    <row r="173" spans="2:14" x14ac:dyDescent="0.2">
      <c r="B173" s="54" t="str">
        <f>'Product Catalog'!B171</f>
        <v>SKU-1168</v>
      </c>
      <c r="C173" s="54" t="str">
        <f>'Product Catalog'!C171</f>
        <v>Key Lime</v>
      </c>
      <c r="D173" s="54" t="str">
        <f>'Product Catalog'!D171</f>
        <v>Fruits</v>
      </c>
      <c r="E173" s="54" t="str">
        <f>'Product Catalog'!E171</f>
        <v>Mexico</v>
      </c>
      <c r="F173" s="55">
        <f>'Product Catalog'!F171</f>
        <v>27.35</v>
      </c>
      <c r="G173" s="55">
        <f>Methodology!$C$6</f>
        <v>4.5</v>
      </c>
      <c r="H173" s="56">
        <f>(F173+G173)*(1+VLOOKUP(E173,'Tariff Rates'!B:E,2,FALSE()))</f>
        <v>31.85</v>
      </c>
      <c r="I173" s="57">
        <f>'Product Catalog'!H171/(1+'Product Catalog'!H171)</f>
        <v>0.23076923076923075</v>
      </c>
      <c r="J173" s="56">
        <f>(F173+G173)*(1+VLOOKUP(E173,'Tariff Rates'!B:E,3,FALSE()))</f>
        <v>35.035000000000004</v>
      </c>
      <c r="K173" s="57">
        <f>(H173*(1+'Product Catalog'!H171)-J173)/(H173*(1+'Product Catalog'!H171))</f>
        <v>0.15384615384615377</v>
      </c>
      <c r="L173" s="56">
        <f>(F173+G173)*(1+VLOOKUP(E173,'Tariff Rates'!B:E,4,FALSE()))</f>
        <v>39.8125</v>
      </c>
      <c r="M173" s="57">
        <f>(H173*(1+'Product Catalog'!H171)-L173)/(H173*(1+'Product Catalog'!H171))</f>
        <v>3.8461538461538484E-2</v>
      </c>
      <c r="N173" s="58">
        <f t="shared" si="2"/>
        <v>-0.19230769230769226</v>
      </c>
    </row>
    <row r="174" spans="2:14" x14ac:dyDescent="0.2">
      <c r="B174" s="49" t="str">
        <f>'Product Catalog'!B172</f>
        <v>SKU-1169</v>
      </c>
      <c r="C174" s="49" t="str">
        <f>'Product Catalog'!C172</f>
        <v>Lemon</v>
      </c>
      <c r="D174" s="49" t="str">
        <f>'Product Catalog'!D172</f>
        <v>Fruits</v>
      </c>
      <c r="E174" s="49" t="str">
        <f>'Product Catalog'!E172</f>
        <v>USA</v>
      </c>
      <c r="F174" s="50">
        <f>'Product Catalog'!F172</f>
        <v>19.71</v>
      </c>
      <c r="G174" s="50">
        <f>Methodology!$C$6</f>
        <v>4.5</v>
      </c>
      <c r="H174" s="51">
        <f>(F174+G174)*(1+VLOOKUP(E174,'Tariff Rates'!B:E,2,FALSE()))</f>
        <v>24.21</v>
      </c>
      <c r="I174" s="52">
        <f>'Product Catalog'!H172/(1+'Product Catalog'!H172)</f>
        <v>0.23076923076923075</v>
      </c>
      <c r="J174" s="51">
        <f>(F174+G174)*(1+VLOOKUP(E174,'Tariff Rates'!B:E,3,FALSE()))</f>
        <v>24.21</v>
      </c>
      <c r="K174" s="52">
        <f>(H174*(1+'Product Catalog'!H172)-J174)/(H174*(1+'Product Catalog'!H172))</f>
        <v>0.23076923076923081</v>
      </c>
      <c r="L174" s="51">
        <f>(F174+G174)*(1+VLOOKUP(E174,'Tariff Rates'!B:E,4,FALSE()))</f>
        <v>24.21</v>
      </c>
      <c r="M174" s="52">
        <f>(H174*(1+'Product Catalog'!H172)-L174)/(H174*(1+'Product Catalog'!H172))</f>
        <v>0.23076923076923081</v>
      </c>
      <c r="N174" s="53">
        <f t="shared" si="2"/>
        <v>0</v>
      </c>
    </row>
    <row r="175" spans="2:14" x14ac:dyDescent="0.2">
      <c r="B175" s="54" t="str">
        <f>'Product Catalog'!B173</f>
        <v>SKU-1170</v>
      </c>
      <c r="C175" s="54" t="str">
        <f>'Product Catalog'!C173</f>
        <v>Meyer Lemon</v>
      </c>
      <c r="D175" s="54" t="str">
        <f>'Product Catalog'!D173</f>
        <v>Fruits</v>
      </c>
      <c r="E175" s="54" t="str">
        <f>'Product Catalog'!E173</f>
        <v>USA</v>
      </c>
      <c r="F175" s="55">
        <f>'Product Catalog'!F173</f>
        <v>27.59</v>
      </c>
      <c r="G175" s="55">
        <f>Methodology!$C$6</f>
        <v>4.5</v>
      </c>
      <c r="H175" s="56">
        <f>(F175+G175)*(1+VLOOKUP(E175,'Tariff Rates'!B:E,2,FALSE()))</f>
        <v>32.090000000000003</v>
      </c>
      <c r="I175" s="57">
        <f>'Product Catalog'!H173/(1+'Product Catalog'!H173)</f>
        <v>0.23076923076923075</v>
      </c>
      <c r="J175" s="56">
        <f>(F175+G175)*(1+VLOOKUP(E175,'Tariff Rates'!B:E,3,FALSE()))</f>
        <v>32.090000000000003</v>
      </c>
      <c r="K175" s="57">
        <f>(H175*(1+'Product Catalog'!H173)-J175)/(H175*(1+'Product Catalog'!H173))</f>
        <v>0.23076923076923078</v>
      </c>
      <c r="L175" s="56">
        <f>(F175+G175)*(1+VLOOKUP(E175,'Tariff Rates'!B:E,4,FALSE()))</f>
        <v>32.090000000000003</v>
      </c>
      <c r="M175" s="57">
        <f>(H175*(1+'Product Catalog'!H173)-L175)/(H175*(1+'Product Catalog'!H173))</f>
        <v>0.23076923076923078</v>
      </c>
      <c r="N175" s="58">
        <f t="shared" si="2"/>
        <v>0</v>
      </c>
    </row>
    <row r="176" spans="2:14" x14ac:dyDescent="0.2">
      <c r="B176" s="49" t="str">
        <f>'Product Catalog'!B174</f>
        <v>SKU-1171</v>
      </c>
      <c r="C176" s="49" t="str">
        <f>'Product Catalog'!C174</f>
        <v>Navel Orange</v>
      </c>
      <c r="D176" s="49" t="str">
        <f>'Product Catalog'!D174</f>
        <v>Fruits</v>
      </c>
      <c r="E176" s="49" t="str">
        <f>'Product Catalog'!E174</f>
        <v>USA</v>
      </c>
      <c r="F176" s="50">
        <f>'Product Catalog'!F174</f>
        <v>25.48</v>
      </c>
      <c r="G176" s="50">
        <f>Methodology!$C$6</f>
        <v>4.5</v>
      </c>
      <c r="H176" s="51">
        <f>(F176+G176)*(1+VLOOKUP(E176,'Tariff Rates'!B:E,2,FALSE()))</f>
        <v>29.98</v>
      </c>
      <c r="I176" s="52">
        <f>'Product Catalog'!H174/(1+'Product Catalog'!H174)</f>
        <v>0.23076923076923075</v>
      </c>
      <c r="J176" s="51">
        <f>(F176+G176)*(1+VLOOKUP(E176,'Tariff Rates'!B:E,3,FALSE()))</f>
        <v>29.98</v>
      </c>
      <c r="K176" s="52">
        <f>(H176*(1+'Product Catalog'!H174)-J176)/(H176*(1+'Product Catalog'!H174))</f>
        <v>0.23076923076923084</v>
      </c>
      <c r="L176" s="51">
        <f>(F176+G176)*(1+VLOOKUP(E176,'Tariff Rates'!B:E,4,FALSE()))</f>
        <v>29.98</v>
      </c>
      <c r="M176" s="52">
        <f>(H176*(1+'Product Catalog'!H174)-L176)/(H176*(1+'Product Catalog'!H174))</f>
        <v>0.23076923076923084</v>
      </c>
      <c r="N176" s="53">
        <f t="shared" si="2"/>
        <v>0</v>
      </c>
    </row>
    <row r="177" spans="2:14" x14ac:dyDescent="0.2">
      <c r="B177" s="54" t="str">
        <f>'Product Catalog'!B175</f>
        <v>SKU-1172</v>
      </c>
      <c r="C177" s="54" t="str">
        <f>'Product Catalog'!C175</f>
        <v>Valencia Orange</v>
      </c>
      <c r="D177" s="54" t="str">
        <f>'Product Catalog'!D175</f>
        <v>Fruits</v>
      </c>
      <c r="E177" s="54" t="str">
        <f>'Product Catalog'!E175</f>
        <v>USA</v>
      </c>
      <c r="F177" s="55">
        <f>'Product Catalog'!F175</f>
        <v>20.57</v>
      </c>
      <c r="G177" s="55">
        <f>Methodology!$C$6</f>
        <v>4.5</v>
      </c>
      <c r="H177" s="56">
        <f>(F177+G177)*(1+VLOOKUP(E177,'Tariff Rates'!B:E,2,FALSE()))</f>
        <v>25.07</v>
      </c>
      <c r="I177" s="57">
        <f>'Product Catalog'!H175/(1+'Product Catalog'!H175)</f>
        <v>0.23076923076923075</v>
      </c>
      <c r="J177" s="56">
        <f>(F177+G177)*(1+VLOOKUP(E177,'Tariff Rates'!B:E,3,FALSE()))</f>
        <v>25.07</v>
      </c>
      <c r="K177" s="57">
        <f>(H177*(1+'Product Catalog'!H175)-J177)/(H177*(1+'Product Catalog'!H175))</f>
        <v>0.23076923076923078</v>
      </c>
      <c r="L177" s="56">
        <f>(F177+G177)*(1+VLOOKUP(E177,'Tariff Rates'!B:E,4,FALSE()))</f>
        <v>25.07</v>
      </c>
      <c r="M177" s="57">
        <f>(H177*(1+'Product Catalog'!H175)-L177)/(H177*(1+'Product Catalog'!H175))</f>
        <v>0.23076923076923078</v>
      </c>
      <c r="N177" s="58">
        <f t="shared" si="2"/>
        <v>0</v>
      </c>
    </row>
    <row r="178" spans="2:14" x14ac:dyDescent="0.2">
      <c r="B178" s="49" t="str">
        <f>'Product Catalog'!B176</f>
        <v>SKU-1173</v>
      </c>
      <c r="C178" s="49" t="str">
        <f>'Product Catalog'!C176</f>
        <v>Blood Orange</v>
      </c>
      <c r="D178" s="49" t="str">
        <f>'Product Catalog'!D176</f>
        <v>Fruits</v>
      </c>
      <c r="E178" s="49" t="str">
        <f>'Product Catalog'!E176</f>
        <v>Italy</v>
      </c>
      <c r="F178" s="50">
        <f>'Product Catalog'!F176</f>
        <v>33.67</v>
      </c>
      <c r="G178" s="50">
        <f>Methodology!$C$6</f>
        <v>4.5</v>
      </c>
      <c r="H178" s="51">
        <f>(F178+G178)*(1+VLOOKUP(E178,'Tariff Rates'!B:E,2,FALSE()))</f>
        <v>40.078500000000005</v>
      </c>
      <c r="I178" s="52">
        <f>'Product Catalog'!H176/(1+'Product Catalog'!H176)</f>
        <v>0.23076923076923075</v>
      </c>
      <c r="J178" s="51">
        <f>(F178+G178)*(1+VLOOKUP(E178,'Tariff Rates'!B:E,3,FALSE()))</f>
        <v>43.895499999999998</v>
      </c>
      <c r="K178" s="52">
        <f>(H178*(1+'Product Catalog'!H176)-J178)/(H178*(1+'Product Catalog'!H176))</f>
        <v>0.15750915750915762</v>
      </c>
      <c r="L178" s="51">
        <f>(F178+G178)*(1+VLOOKUP(E178,'Tariff Rates'!B:E,4,FALSE()))</f>
        <v>45.804000000000002</v>
      </c>
      <c r="M178" s="52">
        <f>(H178*(1+'Product Catalog'!H176)-L178)/(H178*(1+'Product Catalog'!H176))</f>
        <v>0.12087912087912094</v>
      </c>
      <c r="N178" s="53">
        <f t="shared" si="2"/>
        <v>-0.10989010989010982</v>
      </c>
    </row>
    <row r="179" spans="2:14" x14ac:dyDescent="0.2">
      <c r="B179" s="54" t="str">
        <f>'Product Catalog'!B177</f>
        <v>SKU-1174</v>
      </c>
      <c r="C179" s="54" t="str">
        <f>'Product Catalog'!C177</f>
        <v>Cara Cara Orange</v>
      </c>
      <c r="D179" s="54" t="str">
        <f>'Product Catalog'!D177</f>
        <v>Fruits</v>
      </c>
      <c r="E179" s="54" t="str">
        <f>'Product Catalog'!E177</f>
        <v>USA</v>
      </c>
      <c r="F179" s="55">
        <f>'Product Catalog'!F177</f>
        <v>31.85</v>
      </c>
      <c r="G179" s="55">
        <f>Methodology!$C$6</f>
        <v>4.5</v>
      </c>
      <c r="H179" s="56">
        <f>(F179+G179)*(1+VLOOKUP(E179,'Tariff Rates'!B:E,2,FALSE()))</f>
        <v>36.35</v>
      </c>
      <c r="I179" s="57">
        <f>'Product Catalog'!H177/(1+'Product Catalog'!H177)</f>
        <v>0.23076923076923075</v>
      </c>
      <c r="J179" s="56">
        <f>(F179+G179)*(1+VLOOKUP(E179,'Tariff Rates'!B:E,3,FALSE()))</f>
        <v>36.35</v>
      </c>
      <c r="K179" s="57">
        <f>(H179*(1+'Product Catalog'!H177)-J179)/(H179*(1+'Product Catalog'!H177))</f>
        <v>0.23076923076923078</v>
      </c>
      <c r="L179" s="56">
        <f>(F179+G179)*(1+VLOOKUP(E179,'Tariff Rates'!B:E,4,FALSE()))</f>
        <v>36.35</v>
      </c>
      <c r="M179" s="57">
        <f>(H179*(1+'Product Catalog'!H177)-L179)/(H179*(1+'Product Catalog'!H177))</f>
        <v>0.23076923076923078</v>
      </c>
      <c r="N179" s="58">
        <f t="shared" si="2"/>
        <v>0</v>
      </c>
    </row>
    <row r="180" spans="2:14" x14ac:dyDescent="0.2">
      <c r="B180" s="49" t="str">
        <f>'Product Catalog'!B178</f>
        <v>SKU-1175</v>
      </c>
      <c r="C180" s="49" t="str">
        <f>'Product Catalog'!C178</f>
        <v>Mandarin</v>
      </c>
      <c r="D180" s="49" t="str">
        <f>'Product Catalog'!D178</f>
        <v>Fruits</v>
      </c>
      <c r="E180" s="49" t="str">
        <f>'Product Catalog'!E178</f>
        <v>USA</v>
      </c>
      <c r="F180" s="50">
        <f>'Product Catalog'!F178</f>
        <v>28.07</v>
      </c>
      <c r="G180" s="50">
        <f>Methodology!$C$6</f>
        <v>4.5</v>
      </c>
      <c r="H180" s="51">
        <f>(F180+G180)*(1+VLOOKUP(E180,'Tariff Rates'!B:E,2,FALSE()))</f>
        <v>32.57</v>
      </c>
      <c r="I180" s="52">
        <f>'Product Catalog'!H178/(1+'Product Catalog'!H178)</f>
        <v>0.23076923076923075</v>
      </c>
      <c r="J180" s="51">
        <f>(F180+G180)*(1+VLOOKUP(E180,'Tariff Rates'!B:E,3,FALSE()))</f>
        <v>32.57</v>
      </c>
      <c r="K180" s="52">
        <f>(H180*(1+'Product Catalog'!H178)-J180)/(H180*(1+'Product Catalog'!H178))</f>
        <v>0.23076923076923078</v>
      </c>
      <c r="L180" s="51">
        <f>(F180+G180)*(1+VLOOKUP(E180,'Tariff Rates'!B:E,4,FALSE()))</f>
        <v>32.57</v>
      </c>
      <c r="M180" s="52">
        <f>(H180*(1+'Product Catalog'!H178)-L180)/(H180*(1+'Product Catalog'!H178))</f>
        <v>0.23076923076923078</v>
      </c>
      <c r="N180" s="53">
        <f t="shared" si="2"/>
        <v>0</v>
      </c>
    </row>
    <row r="181" spans="2:14" x14ac:dyDescent="0.2">
      <c r="B181" s="54" t="str">
        <f>'Product Catalog'!B179</f>
        <v>SKU-1176</v>
      </c>
      <c r="C181" s="54" t="str">
        <f>'Product Catalog'!C179</f>
        <v>Satsuma</v>
      </c>
      <c r="D181" s="54" t="str">
        <f>'Product Catalog'!D179</f>
        <v>Fruits</v>
      </c>
      <c r="E181" s="54" t="str">
        <f>'Product Catalog'!E179</f>
        <v>Japan</v>
      </c>
      <c r="F181" s="55">
        <f>'Product Catalog'!F179</f>
        <v>40.67</v>
      </c>
      <c r="G181" s="55">
        <f>Methodology!$C$6</f>
        <v>4.5</v>
      </c>
      <c r="H181" s="56">
        <f>(F181+G181)*(1+VLOOKUP(E181,'Tariff Rates'!B:E,2,FALSE()))</f>
        <v>45.17</v>
      </c>
      <c r="I181" s="57">
        <f>'Product Catalog'!H179/(1+'Product Catalog'!H179)</f>
        <v>0.23076923076923075</v>
      </c>
      <c r="J181" s="56">
        <f>(F181+G181)*(1+VLOOKUP(E181,'Tariff Rates'!B:E,3,FALSE()))</f>
        <v>49.687000000000005</v>
      </c>
      <c r="K181" s="57">
        <f>(H181*(1+'Product Catalog'!H179)-J181)/(H181*(1+'Product Catalog'!H179))</f>
        <v>0.15384615384615383</v>
      </c>
      <c r="L181" s="56">
        <f>(F181+G181)*(1+VLOOKUP(E181,'Tariff Rates'!B:E,4,FALSE()))</f>
        <v>51.945499999999996</v>
      </c>
      <c r="M181" s="57">
        <f>(H181*(1+'Product Catalog'!H179)-L181)/(H181*(1+'Product Catalog'!H179))</f>
        <v>0.11538461538461552</v>
      </c>
      <c r="N181" s="58">
        <f t="shared" si="2"/>
        <v>-0.11538461538461524</v>
      </c>
    </row>
    <row r="182" spans="2:14" x14ac:dyDescent="0.2">
      <c r="B182" s="49" t="str">
        <f>'Product Catalog'!B180</f>
        <v>SKU-1177</v>
      </c>
      <c r="C182" s="49" t="str">
        <f>'Product Catalog'!C180</f>
        <v>Grapefruit</v>
      </c>
      <c r="D182" s="49" t="str">
        <f>'Product Catalog'!D180</f>
        <v>Fruits</v>
      </c>
      <c r="E182" s="49" t="str">
        <f>'Product Catalog'!E180</f>
        <v>USA</v>
      </c>
      <c r="F182" s="50">
        <f>'Product Catalog'!F180</f>
        <v>18.78</v>
      </c>
      <c r="G182" s="50">
        <f>Methodology!$C$6</f>
        <v>4.5</v>
      </c>
      <c r="H182" s="51">
        <f>(F182+G182)*(1+VLOOKUP(E182,'Tariff Rates'!B:E,2,FALSE()))</f>
        <v>23.28</v>
      </c>
      <c r="I182" s="52">
        <f>'Product Catalog'!H180/(1+'Product Catalog'!H180)</f>
        <v>0.23076923076923075</v>
      </c>
      <c r="J182" s="51">
        <f>(F182+G182)*(1+VLOOKUP(E182,'Tariff Rates'!B:E,3,FALSE()))</f>
        <v>23.28</v>
      </c>
      <c r="K182" s="52">
        <f>(H182*(1+'Product Catalog'!H180)-J182)/(H182*(1+'Product Catalog'!H180))</f>
        <v>0.23076923076923081</v>
      </c>
      <c r="L182" s="51">
        <f>(F182+G182)*(1+VLOOKUP(E182,'Tariff Rates'!B:E,4,FALSE()))</f>
        <v>23.28</v>
      </c>
      <c r="M182" s="52">
        <f>(H182*(1+'Product Catalog'!H180)-L182)/(H182*(1+'Product Catalog'!H180))</f>
        <v>0.23076923076923081</v>
      </c>
      <c r="N182" s="53">
        <f t="shared" si="2"/>
        <v>0</v>
      </c>
    </row>
    <row r="183" spans="2:14" x14ac:dyDescent="0.2">
      <c r="B183" s="54" t="str">
        <f>'Product Catalog'!B181</f>
        <v>SKU-1178</v>
      </c>
      <c r="C183" s="54" t="str">
        <f>'Product Catalog'!C181</f>
        <v>Pomelo</v>
      </c>
      <c r="D183" s="54" t="str">
        <f>'Product Catalog'!D181</f>
        <v>Fruits</v>
      </c>
      <c r="E183" s="54" t="str">
        <f>'Product Catalog'!E181</f>
        <v>China</v>
      </c>
      <c r="F183" s="55">
        <f>'Product Catalog'!F181</f>
        <v>37.17</v>
      </c>
      <c r="G183" s="55">
        <f>Methodology!$C$6</f>
        <v>4.5</v>
      </c>
      <c r="H183" s="56">
        <f>(F183+G183)*(1+VLOOKUP(E183,'Tariff Rates'!B:E,2,FALSE()))</f>
        <v>47.920499999999997</v>
      </c>
      <c r="I183" s="57">
        <f>'Product Catalog'!H181/(1+'Product Catalog'!H181)</f>
        <v>0.23076923076923075</v>
      </c>
      <c r="J183" s="56">
        <f>(F183+G183)*(1+VLOOKUP(E183,'Tariff Rates'!B:E,3,FALSE()))</f>
        <v>54.171000000000006</v>
      </c>
      <c r="K183" s="57">
        <f>(H183*(1+'Product Catalog'!H181)-J183)/(H183*(1+'Product Catalog'!H181))</f>
        <v>0.13043478260869554</v>
      </c>
      <c r="L183" s="56">
        <f>(F183+G183)*(1+VLOOKUP(E183,'Tariff Rates'!B:E,4,FALSE()))</f>
        <v>62.505000000000003</v>
      </c>
      <c r="M183" s="57">
        <f>(H183*(1+'Product Catalog'!H181)-L183)/(H183*(1+'Product Catalog'!H181))</f>
        <v>-3.3444816053512173E-3</v>
      </c>
      <c r="N183" s="58">
        <f t="shared" si="2"/>
        <v>-0.23411371237458198</v>
      </c>
    </row>
    <row r="184" spans="2:14" x14ac:dyDescent="0.2">
      <c r="B184" s="49" t="str">
        <f>'Product Catalog'!B182</f>
        <v>SKU-1179</v>
      </c>
      <c r="C184" s="49" t="str">
        <f>'Product Catalog'!C182</f>
        <v>Apple (Fuji)</v>
      </c>
      <c r="D184" s="49" t="str">
        <f>'Product Catalog'!D182</f>
        <v>Fruits</v>
      </c>
      <c r="E184" s="49" t="str">
        <f>'Product Catalog'!E182</f>
        <v>USA</v>
      </c>
      <c r="F184" s="50">
        <f>'Product Catalog'!F182</f>
        <v>26.24</v>
      </c>
      <c r="G184" s="50">
        <f>Methodology!$C$6</f>
        <v>4.5</v>
      </c>
      <c r="H184" s="51">
        <f>(F184+G184)*(1+VLOOKUP(E184,'Tariff Rates'!B:E,2,FALSE()))</f>
        <v>30.74</v>
      </c>
      <c r="I184" s="52">
        <f>'Product Catalog'!H182/(1+'Product Catalog'!H182)</f>
        <v>0.23076923076923075</v>
      </c>
      <c r="J184" s="51">
        <f>(F184+G184)*(1+VLOOKUP(E184,'Tariff Rates'!B:E,3,FALSE()))</f>
        <v>30.74</v>
      </c>
      <c r="K184" s="52">
        <f>(H184*(1+'Product Catalog'!H182)-J184)/(H184*(1+'Product Catalog'!H182))</f>
        <v>0.23076923076923073</v>
      </c>
      <c r="L184" s="51">
        <f>(F184+G184)*(1+VLOOKUP(E184,'Tariff Rates'!B:E,4,FALSE()))</f>
        <v>30.74</v>
      </c>
      <c r="M184" s="52">
        <f>(H184*(1+'Product Catalog'!H182)-L184)/(H184*(1+'Product Catalog'!H182))</f>
        <v>0.23076923076923073</v>
      </c>
      <c r="N184" s="53">
        <f t="shared" si="2"/>
        <v>0</v>
      </c>
    </row>
    <row r="185" spans="2:14" x14ac:dyDescent="0.2">
      <c r="B185" s="54" t="str">
        <f>'Product Catalog'!B183</f>
        <v>SKU-1180</v>
      </c>
      <c r="C185" s="54" t="str">
        <f>'Product Catalog'!C183</f>
        <v>Apple (Gala)</v>
      </c>
      <c r="D185" s="54" t="str">
        <f>'Product Catalog'!D183</f>
        <v>Fruits</v>
      </c>
      <c r="E185" s="54" t="str">
        <f>'Product Catalog'!E183</f>
        <v>USA</v>
      </c>
      <c r="F185" s="55">
        <f>'Product Catalog'!F183</f>
        <v>24.67</v>
      </c>
      <c r="G185" s="55">
        <f>Methodology!$C$6</f>
        <v>4.5</v>
      </c>
      <c r="H185" s="56">
        <f>(F185+G185)*(1+VLOOKUP(E185,'Tariff Rates'!B:E,2,FALSE()))</f>
        <v>29.17</v>
      </c>
      <c r="I185" s="57">
        <f>'Product Catalog'!H183/(1+'Product Catalog'!H183)</f>
        <v>0.23076923076923075</v>
      </c>
      <c r="J185" s="56">
        <f>(F185+G185)*(1+VLOOKUP(E185,'Tariff Rates'!B:E,3,FALSE()))</f>
        <v>29.17</v>
      </c>
      <c r="K185" s="57">
        <f>(H185*(1+'Product Catalog'!H183)-J185)/(H185*(1+'Product Catalog'!H183))</f>
        <v>0.23076923076923087</v>
      </c>
      <c r="L185" s="56">
        <f>(F185+G185)*(1+VLOOKUP(E185,'Tariff Rates'!B:E,4,FALSE()))</f>
        <v>29.17</v>
      </c>
      <c r="M185" s="57">
        <f>(H185*(1+'Product Catalog'!H183)-L185)/(H185*(1+'Product Catalog'!H183))</f>
        <v>0.23076923076923087</v>
      </c>
      <c r="N185" s="58">
        <f t="shared" si="2"/>
        <v>0</v>
      </c>
    </row>
    <row r="186" spans="2:14" x14ac:dyDescent="0.2">
      <c r="B186" s="49" t="str">
        <f>'Product Catalog'!B184</f>
        <v>SKU-1181</v>
      </c>
      <c r="C186" s="49" t="str">
        <f>'Product Catalog'!C184</f>
        <v>Apple (Honeycrisp)</v>
      </c>
      <c r="D186" s="49" t="str">
        <f>'Product Catalog'!D184</f>
        <v>Fruits</v>
      </c>
      <c r="E186" s="49" t="str">
        <f>'Product Catalog'!E184</f>
        <v>USA</v>
      </c>
      <c r="F186" s="50">
        <f>'Product Catalog'!F184</f>
        <v>40.75</v>
      </c>
      <c r="G186" s="50">
        <f>Methodology!$C$6</f>
        <v>4.5</v>
      </c>
      <c r="H186" s="51">
        <f>(F186+G186)*(1+VLOOKUP(E186,'Tariff Rates'!B:E,2,FALSE()))</f>
        <v>45.25</v>
      </c>
      <c r="I186" s="52">
        <f>'Product Catalog'!H184/(1+'Product Catalog'!H184)</f>
        <v>0.23076923076923075</v>
      </c>
      <c r="J186" s="51">
        <f>(F186+G186)*(1+VLOOKUP(E186,'Tariff Rates'!B:E,3,FALSE()))</f>
        <v>45.25</v>
      </c>
      <c r="K186" s="52">
        <f>(H186*(1+'Product Catalog'!H184)-J186)/(H186*(1+'Product Catalog'!H184))</f>
        <v>0.23076923076923081</v>
      </c>
      <c r="L186" s="51">
        <f>(F186+G186)*(1+VLOOKUP(E186,'Tariff Rates'!B:E,4,FALSE()))</f>
        <v>45.25</v>
      </c>
      <c r="M186" s="52">
        <f>(H186*(1+'Product Catalog'!H184)-L186)/(H186*(1+'Product Catalog'!H184))</f>
        <v>0.23076923076923081</v>
      </c>
      <c r="N186" s="53">
        <f t="shared" si="2"/>
        <v>0</v>
      </c>
    </row>
    <row r="187" spans="2:14" x14ac:dyDescent="0.2">
      <c r="B187" s="54" t="str">
        <f>'Product Catalog'!B185</f>
        <v>SKU-1182</v>
      </c>
      <c r="C187" s="54" t="str">
        <f>'Product Catalog'!C185</f>
        <v>Apple (Granny Smith)</v>
      </c>
      <c r="D187" s="54" t="str">
        <f>'Product Catalog'!D185</f>
        <v>Fruits</v>
      </c>
      <c r="E187" s="54" t="str">
        <f>'Product Catalog'!E185</f>
        <v>USA</v>
      </c>
      <c r="F187" s="55">
        <f>'Product Catalog'!F185</f>
        <v>26.73</v>
      </c>
      <c r="G187" s="55">
        <f>Methodology!$C$6</f>
        <v>4.5</v>
      </c>
      <c r="H187" s="56">
        <f>(F187+G187)*(1+VLOOKUP(E187,'Tariff Rates'!B:E,2,FALSE()))</f>
        <v>31.23</v>
      </c>
      <c r="I187" s="57">
        <f>'Product Catalog'!H185/(1+'Product Catalog'!H185)</f>
        <v>0.23076923076923075</v>
      </c>
      <c r="J187" s="56">
        <f>(F187+G187)*(1+VLOOKUP(E187,'Tariff Rates'!B:E,3,FALSE()))</f>
        <v>31.23</v>
      </c>
      <c r="K187" s="57">
        <f>(H187*(1+'Product Catalog'!H185)-J187)/(H187*(1+'Product Catalog'!H185))</f>
        <v>0.23076923076923084</v>
      </c>
      <c r="L187" s="56">
        <f>(F187+G187)*(1+VLOOKUP(E187,'Tariff Rates'!B:E,4,FALSE()))</f>
        <v>31.23</v>
      </c>
      <c r="M187" s="57">
        <f>(H187*(1+'Product Catalog'!H185)-L187)/(H187*(1+'Product Catalog'!H185))</f>
        <v>0.23076923076923084</v>
      </c>
      <c r="N187" s="58">
        <f t="shared" si="2"/>
        <v>0</v>
      </c>
    </row>
    <row r="188" spans="2:14" x14ac:dyDescent="0.2">
      <c r="B188" s="49" t="str">
        <f>'Product Catalog'!B186</f>
        <v>SKU-1183</v>
      </c>
      <c r="C188" s="49" t="str">
        <f>'Product Catalog'!C186</f>
        <v>Apple (Pink Lady)</v>
      </c>
      <c r="D188" s="49" t="str">
        <f>'Product Catalog'!D186</f>
        <v>Fruits</v>
      </c>
      <c r="E188" s="49" t="str">
        <f>'Product Catalog'!E186</f>
        <v>USA</v>
      </c>
      <c r="F188" s="50">
        <f>'Product Catalog'!F186</f>
        <v>35.840000000000003</v>
      </c>
      <c r="G188" s="50">
        <f>Methodology!$C$6</f>
        <v>4.5</v>
      </c>
      <c r="H188" s="51">
        <f>(F188+G188)*(1+VLOOKUP(E188,'Tariff Rates'!B:E,2,FALSE()))</f>
        <v>40.340000000000003</v>
      </c>
      <c r="I188" s="52">
        <f>'Product Catalog'!H186/(1+'Product Catalog'!H186)</f>
        <v>0.23076923076923075</v>
      </c>
      <c r="J188" s="51">
        <f>(F188+G188)*(1+VLOOKUP(E188,'Tariff Rates'!B:E,3,FALSE()))</f>
        <v>40.340000000000003</v>
      </c>
      <c r="K188" s="52">
        <f>(H188*(1+'Product Catalog'!H186)-J188)/(H188*(1+'Product Catalog'!H186))</f>
        <v>0.23076923076923081</v>
      </c>
      <c r="L188" s="51">
        <f>(F188+G188)*(1+VLOOKUP(E188,'Tariff Rates'!B:E,4,FALSE()))</f>
        <v>40.340000000000003</v>
      </c>
      <c r="M188" s="52">
        <f>(H188*(1+'Product Catalog'!H186)-L188)/(H188*(1+'Product Catalog'!H186))</f>
        <v>0.23076923076923081</v>
      </c>
      <c r="N188" s="53">
        <f t="shared" si="2"/>
        <v>0</v>
      </c>
    </row>
    <row r="189" spans="2:14" x14ac:dyDescent="0.2">
      <c r="B189" s="54" t="str">
        <f>'Product Catalog'!B187</f>
        <v>SKU-1184</v>
      </c>
      <c r="C189" s="54" t="str">
        <f>'Product Catalog'!C187</f>
        <v>Apple (Envy)</v>
      </c>
      <c r="D189" s="54" t="str">
        <f>'Product Catalog'!D187</f>
        <v>Fruits</v>
      </c>
      <c r="E189" s="54" t="str">
        <f>'Product Catalog'!E187</f>
        <v>New Zealand</v>
      </c>
      <c r="F189" s="55">
        <f>'Product Catalog'!F187</f>
        <v>37.18</v>
      </c>
      <c r="G189" s="55">
        <f>Methodology!$C$6</f>
        <v>4.5</v>
      </c>
      <c r="H189" s="56">
        <f>(F189+G189)*(1+VLOOKUP(E189,'Tariff Rates'!B:E,2,FALSE()))</f>
        <v>41.68</v>
      </c>
      <c r="I189" s="57">
        <f>'Product Catalog'!H187/(1+'Product Catalog'!H187)</f>
        <v>0.23076923076923075</v>
      </c>
      <c r="J189" s="56">
        <f>(F189+G189)*(1+VLOOKUP(E189,'Tariff Rates'!B:E,3,FALSE()))</f>
        <v>45.848000000000006</v>
      </c>
      <c r="K189" s="57">
        <f>(H189*(1+'Product Catalog'!H187)-J189)/(H189*(1+'Product Catalog'!H187))</f>
        <v>0.1538461538461538</v>
      </c>
      <c r="L189" s="56">
        <f>(F189+G189)*(1+VLOOKUP(E189,'Tariff Rates'!B:E,4,FALSE()))</f>
        <v>47.931999999999995</v>
      </c>
      <c r="M189" s="57">
        <f>(H189*(1+'Product Catalog'!H187)-L189)/(H189*(1+'Product Catalog'!H187))</f>
        <v>0.11538461538461556</v>
      </c>
      <c r="N189" s="58">
        <f t="shared" si="2"/>
        <v>-0.1153846153846152</v>
      </c>
    </row>
    <row r="190" spans="2:14" x14ac:dyDescent="0.2">
      <c r="B190" s="49" t="str">
        <f>'Product Catalog'!B188</f>
        <v>SKU-1185</v>
      </c>
      <c r="C190" s="49" t="str">
        <f>'Product Catalog'!C188</f>
        <v>Pear (Bartlett)</v>
      </c>
      <c r="D190" s="49" t="str">
        <f>'Product Catalog'!D188</f>
        <v>Fruits</v>
      </c>
      <c r="E190" s="49" t="str">
        <f>'Product Catalog'!E188</f>
        <v>USA</v>
      </c>
      <c r="F190" s="50">
        <f>'Product Catalog'!F188</f>
        <v>25.22</v>
      </c>
      <c r="G190" s="50">
        <f>Methodology!$C$6</f>
        <v>4.5</v>
      </c>
      <c r="H190" s="51">
        <f>(F190+G190)*(1+VLOOKUP(E190,'Tariff Rates'!B:E,2,FALSE()))</f>
        <v>29.72</v>
      </c>
      <c r="I190" s="52">
        <f>'Product Catalog'!H188/(1+'Product Catalog'!H188)</f>
        <v>0.23076923076923075</v>
      </c>
      <c r="J190" s="51">
        <f>(F190+G190)*(1+VLOOKUP(E190,'Tariff Rates'!B:E,3,FALSE()))</f>
        <v>29.72</v>
      </c>
      <c r="K190" s="52">
        <f>(H190*(1+'Product Catalog'!H188)-J190)/(H190*(1+'Product Catalog'!H188))</f>
        <v>0.23076923076923087</v>
      </c>
      <c r="L190" s="51">
        <f>(F190+G190)*(1+VLOOKUP(E190,'Tariff Rates'!B:E,4,FALSE()))</f>
        <v>29.72</v>
      </c>
      <c r="M190" s="52">
        <f>(H190*(1+'Product Catalog'!H188)-L190)/(H190*(1+'Product Catalog'!H188))</f>
        <v>0.23076923076923087</v>
      </c>
      <c r="N190" s="53">
        <f t="shared" si="2"/>
        <v>0</v>
      </c>
    </row>
    <row r="191" spans="2:14" x14ac:dyDescent="0.2">
      <c r="B191" s="54" t="str">
        <f>'Product Catalog'!B189</f>
        <v>SKU-1186</v>
      </c>
      <c r="C191" s="54" t="str">
        <f>'Product Catalog'!C189</f>
        <v>Pear (Anjou)</v>
      </c>
      <c r="D191" s="54" t="str">
        <f>'Product Catalog'!D189</f>
        <v>Fruits</v>
      </c>
      <c r="E191" s="54" t="str">
        <f>'Product Catalog'!E189</f>
        <v>USA</v>
      </c>
      <c r="F191" s="55">
        <f>'Product Catalog'!F189</f>
        <v>24.71</v>
      </c>
      <c r="G191" s="55">
        <f>Methodology!$C$6</f>
        <v>4.5</v>
      </c>
      <c r="H191" s="56">
        <f>(F191+G191)*(1+VLOOKUP(E191,'Tariff Rates'!B:E,2,FALSE()))</f>
        <v>29.21</v>
      </c>
      <c r="I191" s="57">
        <f>'Product Catalog'!H189/(1+'Product Catalog'!H189)</f>
        <v>0.23076923076923075</v>
      </c>
      <c r="J191" s="56">
        <f>(F191+G191)*(1+VLOOKUP(E191,'Tariff Rates'!B:E,3,FALSE()))</f>
        <v>29.21</v>
      </c>
      <c r="K191" s="57">
        <f>(H191*(1+'Product Catalog'!H189)-J191)/(H191*(1+'Product Catalog'!H189))</f>
        <v>0.23076923076923073</v>
      </c>
      <c r="L191" s="56">
        <f>(F191+G191)*(1+VLOOKUP(E191,'Tariff Rates'!B:E,4,FALSE()))</f>
        <v>29.21</v>
      </c>
      <c r="M191" s="57">
        <f>(H191*(1+'Product Catalog'!H189)-L191)/(H191*(1+'Product Catalog'!H189))</f>
        <v>0.23076923076923073</v>
      </c>
      <c r="N191" s="58">
        <f t="shared" si="2"/>
        <v>0</v>
      </c>
    </row>
    <row r="192" spans="2:14" x14ac:dyDescent="0.2">
      <c r="B192" s="49" t="str">
        <f>'Product Catalog'!B190</f>
        <v>SKU-1187</v>
      </c>
      <c r="C192" s="49" t="str">
        <f>'Product Catalog'!C190</f>
        <v>Pear (Bosc)</v>
      </c>
      <c r="D192" s="49" t="str">
        <f>'Product Catalog'!D190</f>
        <v>Fruits</v>
      </c>
      <c r="E192" s="49" t="str">
        <f>'Product Catalog'!E190</f>
        <v>USA</v>
      </c>
      <c r="F192" s="50">
        <f>'Product Catalog'!F190</f>
        <v>30.89</v>
      </c>
      <c r="G192" s="50">
        <f>Methodology!$C$6</f>
        <v>4.5</v>
      </c>
      <c r="H192" s="51">
        <f>(F192+G192)*(1+VLOOKUP(E192,'Tariff Rates'!B:E,2,FALSE()))</f>
        <v>35.39</v>
      </c>
      <c r="I192" s="52">
        <f>'Product Catalog'!H190/(1+'Product Catalog'!H190)</f>
        <v>0.23076923076923075</v>
      </c>
      <c r="J192" s="51">
        <f>(F192+G192)*(1+VLOOKUP(E192,'Tariff Rates'!B:E,3,FALSE()))</f>
        <v>35.39</v>
      </c>
      <c r="K192" s="52">
        <f>(H192*(1+'Product Catalog'!H190)-J192)/(H192*(1+'Product Catalog'!H190))</f>
        <v>0.23076923076923084</v>
      </c>
      <c r="L192" s="51">
        <f>(F192+G192)*(1+VLOOKUP(E192,'Tariff Rates'!B:E,4,FALSE()))</f>
        <v>35.39</v>
      </c>
      <c r="M192" s="52">
        <f>(H192*(1+'Product Catalog'!H190)-L192)/(H192*(1+'Product Catalog'!H190))</f>
        <v>0.23076923076923084</v>
      </c>
      <c r="N192" s="53">
        <f t="shared" si="2"/>
        <v>0</v>
      </c>
    </row>
    <row r="193" spans="2:14" x14ac:dyDescent="0.2">
      <c r="B193" s="54" t="str">
        <f>'Product Catalog'!B191</f>
        <v>SKU-1188</v>
      </c>
      <c r="C193" s="54" t="str">
        <f>'Product Catalog'!C191</f>
        <v>Asian Pear</v>
      </c>
      <c r="D193" s="54" t="str">
        <f>'Product Catalog'!D191</f>
        <v>Fruits</v>
      </c>
      <c r="E193" s="54" t="str">
        <f>'Product Catalog'!E191</f>
        <v>South Korea</v>
      </c>
      <c r="F193" s="55">
        <f>'Product Catalog'!F191</f>
        <v>41.48</v>
      </c>
      <c r="G193" s="55">
        <f>Methodology!$C$6</f>
        <v>4.5</v>
      </c>
      <c r="H193" s="56">
        <f>(F193+G193)*(1+VLOOKUP(E193,'Tariff Rates'!B:E,2,FALSE()))</f>
        <v>45.98</v>
      </c>
      <c r="I193" s="57">
        <f>'Product Catalog'!H191/(1+'Product Catalog'!H191)</f>
        <v>0.23076923076923075</v>
      </c>
      <c r="J193" s="56">
        <f>(F193+G193)*(1+VLOOKUP(E193,'Tariff Rates'!B:E,3,FALSE()))</f>
        <v>50.578000000000003</v>
      </c>
      <c r="K193" s="57">
        <f>(H193*(1+'Product Catalog'!H191)-J193)/(H193*(1+'Product Catalog'!H191))</f>
        <v>0.1538461538461538</v>
      </c>
      <c r="L193" s="56">
        <f>(F193+G193)*(1+VLOOKUP(E193,'Tariff Rates'!B:E,4,FALSE()))</f>
        <v>52.876999999999995</v>
      </c>
      <c r="M193" s="57">
        <f>(H193*(1+'Product Catalog'!H191)-L193)/(H193*(1+'Product Catalog'!H191))</f>
        <v>0.11538461538461547</v>
      </c>
      <c r="N193" s="58">
        <f t="shared" si="2"/>
        <v>-0.11538461538461528</v>
      </c>
    </row>
    <row r="194" spans="2:14" x14ac:dyDescent="0.2">
      <c r="B194" s="49" t="str">
        <f>'Product Catalog'!B192</f>
        <v>SKU-1189</v>
      </c>
      <c r="C194" s="49" t="str">
        <f>'Product Catalog'!C192</f>
        <v>Korean Pear</v>
      </c>
      <c r="D194" s="49" t="str">
        <f>'Product Catalog'!D192</f>
        <v>Fruits</v>
      </c>
      <c r="E194" s="49" t="str">
        <f>'Product Catalog'!E192</f>
        <v>South Korea</v>
      </c>
      <c r="F194" s="50">
        <f>'Product Catalog'!F192</f>
        <v>45.04</v>
      </c>
      <c r="G194" s="50">
        <f>Methodology!$C$6</f>
        <v>4.5</v>
      </c>
      <c r="H194" s="51">
        <f>(F194+G194)*(1+VLOOKUP(E194,'Tariff Rates'!B:E,2,FALSE()))</f>
        <v>49.54</v>
      </c>
      <c r="I194" s="52">
        <f>'Product Catalog'!H192/(1+'Product Catalog'!H192)</f>
        <v>0.23076923076923075</v>
      </c>
      <c r="J194" s="51">
        <f>(F194+G194)*(1+VLOOKUP(E194,'Tariff Rates'!B:E,3,FALSE()))</f>
        <v>54.494000000000007</v>
      </c>
      <c r="K194" s="52">
        <f>(H194*(1+'Product Catalog'!H192)-J194)/(H194*(1+'Product Catalog'!H192))</f>
        <v>0.15384615384615374</v>
      </c>
      <c r="L194" s="51">
        <f>(F194+G194)*(1+VLOOKUP(E194,'Tariff Rates'!B:E,4,FALSE()))</f>
        <v>56.970999999999997</v>
      </c>
      <c r="M194" s="52">
        <f>(H194*(1+'Product Catalog'!H192)-L194)/(H194*(1+'Product Catalog'!H192))</f>
        <v>0.11538461538461545</v>
      </c>
      <c r="N194" s="53">
        <f t="shared" si="2"/>
        <v>-0.11538461538461531</v>
      </c>
    </row>
    <row r="195" spans="2:14" x14ac:dyDescent="0.2">
      <c r="B195" s="54" t="str">
        <f>'Product Catalog'!B193</f>
        <v>SKU-1190</v>
      </c>
      <c r="C195" s="54" t="str">
        <f>'Product Catalog'!C193</f>
        <v>Grape (Red Seedless)</v>
      </c>
      <c r="D195" s="54" t="str">
        <f>'Product Catalog'!D193</f>
        <v>Fruits</v>
      </c>
      <c r="E195" s="54" t="str">
        <f>'Product Catalog'!E193</f>
        <v>USA</v>
      </c>
      <c r="F195" s="55">
        <f>'Product Catalog'!F193</f>
        <v>30.49</v>
      </c>
      <c r="G195" s="55">
        <f>Methodology!$C$6</f>
        <v>4.5</v>
      </c>
      <c r="H195" s="56">
        <f>(F195+G195)*(1+VLOOKUP(E195,'Tariff Rates'!B:E,2,FALSE()))</f>
        <v>34.989999999999995</v>
      </c>
      <c r="I195" s="57">
        <f>'Product Catalog'!H193/(1+'Product Catalog'!H193)</f>
        <v>0.23076923076923075</v>
      </c>
      <c r="J195" s="56">
        <f>(F195+G195)*(1+VLOOKUP(E195,'Tariff Rates'!B:E,3,FALSE()))</f>
        <v>34.989999999999995</v>
      </c>
      <c r="K195" s="57">
        <f>(H195*(1+'Product Catalog'!H193)-J195)/(H195*(1+'Product Catalog'!H193))</f>
        <v>0.23076923076923078</v>
      </c>
      <c r="L195" s="56">
        <f>(F195+G195)*(1+VLOOKUP(E195,'Tariff Rates'!B:E,4,FALSE()))</f>
        <v>34.989999999999995</v>
      </c>
      <c r="M195" s="57">
        <f>(H195*(1+'Product Catalog'!H193)-L195)/(H195*(1+'Product Catalog'!H193))</f>
        <v>0.23076923076923078</v>
      </c>
      <c r="N195" s="58">
        <f t="shared" si="2"/>
        <v>0</v>
      </c>
    </row>
    <row r="196" spans="2:14" x14ac:dyDescent="0.2">
      <c r="B196" s="49" t="str">
        <f>'Product Catalog'!B194</f>
        <v>SKU-1191</v>
      </c>
      <c r="C196" s="49" t="str">
        <f>'Product Catalog'!C194</f>
        <v>Grape (Green Seedless)</v>
      </c>
      <c r="D196" s="49" t="str">
        <f>'Product Catalog'!D194</f>
        <v>Fruits</v>
      </c>
      <c r="E196" s="49" t="str">
        <f>'Product Catalog'!E194</f>
        <v>USA</v>
      </c>
      <c r="F196" s="50">
        <f>'Product Catalog'!F194</f>
        <v>30.22</v>
      </c>
      <c r="G196" s="50">
        <f>Methodology!$C$6</f>
        <v>4.5</v>
      </c>
      <c r="H196" s="51">
        <f>(F196+G196)*(1+VLOOKUP(E196,'Tariff Rates'!B:E,2,FALSE()))</f>
        <v>34.72</v>
      </c>
      <c r="I196" s="52">
        <f>'Product Catalog'!H194/(1+'Product Catalog'!H194)</f>
        <v>0.23076923076923075</v>
      </c>
      <c r="J196" s="51">
        <f>(F196+G196)*(1+VLOOKUP(E196,'Tariff Rates'!B:E,3,FALSE()))</f>
        <v>34.72</v>
      </c>
      <c r="K196" s="52">
        <f>(H196*(1+'Product Catalog'!H194)-J196)/(H196*(1+'Product Catalog'!H194))</f>
        <v>0.23076923076923084</v>
      </c>
      <c r="L196" s="51">
        <f>(F196+G196)*(1+VLOOKUP(E196,'Tariff Rates'!B:E,4,FALSE()))</f>
        <v>34.72</v>
      </c>
      <c r="M196" s="52">
        <f>(H196*(1+'Product Catalog'!H194)-L196)/(H196*(1+'Product Catalog'!H194))</f>
        <v>0.23076923076923084</v>
      </c>
      <c r="N196" s="53">
        <f t="shared" si="2"/>
        <v>0</v>
      </c>
    </row>
    <row r="197" spans="2:14" x14ac:dyDescent="0.2">
      <c r="B197" s="54" t="str">
        <f>'Product Catalog'!B195</f>
        <v>SKU-1192</v>
      </c>
      <c r="C197" s="54" t="str">
        <f>'Product Catalog'!C195</f>
        <v>Grape (Black)</v>
      </c>
      <c r="D197" s="54" t="str">
        <f>'Product Catalog'!D195</f>
        <v>Fruits</v>
      </c>
      <c r="E197" s="54" t="str">
        <f>'Product Catalog'!E195</f>
        <v>USA</v>
      </c>
      <c r="F197" s="55">
        <f>'Product Catalog'!F195</f>
        <v>30.79</v>
      </c>
      <c r="G197" s="55">
        <f>Methodology!$C$6</f>
        <v>4.5</v>
      </c>
      <c r="H197" s="56">
        <f>(F197+G197)*(1+VLOOKUP(E197,'Tariff Rates'!B:E,2,FALSE()))</f>
        <v>35.29</v>
      </c>
      <c r="I197" s="57">
        <f>'Product Catalog'!H195/(1+'Product Catalog'!H195)</f>
        <v>0.23076923076923075</v>
      </c>
      <c r="J197" s="56">
        <f>(F197+G197)*(1+VLOOKUP(E197,'Tariff Rates'!B:E,3,FALSE()))</f>
        <v>35.29</v>
      </c>
      <c r="K197" s="57">
        <f>(H197*(1+'Product Catalog'!H195)-J197)/(H197*(1+'Product Catalog'!H195))</f>
        <v>0.23076923076923084</v>
      </c>
      <c r="L197" s="56">
        <f>(F197+G197)*(1+VLOOKUP(E197,'Tariff Rates'!B:E,4,FALSE()))</f>
        <v>35.29</v>
      </c>
      <c r="M197" s="57">
        <f>(H197*(1+'Product Catalog'!H195)-L197)/(H197*(1+'Product Catalog'!H195))</f>
        <v>0.23076923076923084</v>
      </c>
      <c r="N197" s="58">
        <f t="shared" si="2"/>
        <v>0</v>
      </c>
    </row>
    <row r="198" spans="2:14" x14ac:dyDescent="0.2">
      <c r="B198" s="49" t="str">
        <f>'Product Catalog'!B196</f>
        <v>SKU-1193</v>
      </c>
      <c r="C198" s="49" t="str">
        <f>'Product Catalog'!C196</f>
        <v>Grape (Cotton Candy)</v>
      </c>
      <c r="D198" s="49" t="str">
        <f>'Product Catalog'!D196</f>
        <v>Fruits</v>
      </c>
      <c r="E198" s="49" t="str">
        <f>'Product Catalog'!E196</f>
        <v>USA</v>
      </c>
      <c r="F198" s="50">
        <f>'Product Catalog'!F196</f>
        <v>41.5</v>
      </c>
      <c r="G198" s="50">
        <f>Methodology!$C$6</f>
        <v>4.5</v>
      </c>
      <c r="H198" s="51">
        <f>(F198+G198)*(1+VLOOKUP(E198,'Tariff Rates'!B:E,2,FALSE()))</f>
        <v>46</v>
      </c>
      <c r="I198" s="52">
        <f>'Product Catalog'!H196/(1+'Product Catalog'!H196)</f>
        <v>0.23076923076923075</v>
      </c>
      <c r="J198" s="51">
        <f>(F198+G198)*(1+VLOOKUP(E198,'Tariff Rates'!B:E,3,FALSE()))</f>
        <v>46</v>
      </c>
      <c r="K198" s="52">
        <f>(H198*(1+'Product Catalog'!H196)-J198)/(H198*(1+'Product Catalog'!H196))</f>
        <v>0.23076923076923084</v>
      </c>
      <c r="L198" s="51">
        <f>(F198+G198)*(1+VLOOKUP(E198,'Tariff Rates'!B:E,4,FALSE()))</f>
        <v>46</v>
      </c>
      <c r="M198" s="52">
        <f>(H198*(1+'Product Catalog'!H196)-L198)/(H198*(1+'Product Catalog'!H196))</f>
        <v>0.23076923076923084</v>
      </c>
      <c r="N198" s="53">
        <f t="shared" ref="N198:N261" si="3">M198-I198</f>
        <v>0</v>
      </c>
    </row>
    <row r="199" spans="2:14" x14ac:dyDescent="0.2">
      <c r="B199" s="54" t="str">
        <f>'Product Catalog'!B197</f>
        <v>SKU-1194</v>
      </c>
      <c r="C199" s="54" t="str">
        <f>'Product Catalog'!C197</f>
        <v>Strawberry</v>
      </c>
      <c r="D199" s="54" t="str">
        <f>'Product Catalog'!D197</f>
        <v>Fruits</v>
      </c>
      <c r="E199" s="54" t="str">
        <f>'Product Catalog'!E197</f>
        <v>USA</v>
      </c>
      <c r="F199" s="55">
        <f>'Product Catalog'!F197</f>
        <v>31.23</v>
      </c>
      <c r="G199" s="55">
        <f>Methodology!$C$6</f>
        <v>4.5</v>
      </c>
      <c r="H199" s="56">
        <f>(F199+G199)*(1+VLOOKUP(E199,'Tariff Rates'!B:E,2,FALSE()))</f>
        <v>35.730000000000004</v>
      </c>
      <c r="I199" s="57">
        <f>'Product Catalog'!H197/(1+'Product Catalog'!H197)</f>
        <v>0.23076923076923075</v>
      </c>
      <c r="J199" s="56">
        <f>(F199+G199)*(1+VLOOKUP(E199,'Tariff Rates'!B:E,3,FALSE()))</f>
        <v>35.730000000000004</v>
      </c>
      <c r="K199" s="57">
        <f>(H199*(1+'Product Catalog'!H197)-J199)/(H199*(1+'Product Catalog'!H197))</f>
        <v>0.23076923076923078</v>
      </c>
      <c r="L199" s="56">
        <f>(F199+G199)*(1+VLOOKUP(E199,'Tariff Rates'!B:E,4,FALSE()))</f>
        <v>35.730000000000004</v>
      </c>
      <c r="M199" s="57">
        <f>(H199*(1+'Product Catalog'!H197)-L199)/(H199*(1+'Product Catalog'!H197))</f>
        <v>0.23076923076923078</v>
      </c>
      <c r="N199" s="58">
        <f t="shared" si="3"/>
        <v>0</v>
      </c>
    </row>
    <row r="200" spans="2:14" x14ac:dyDescent="0.2">
      <c r="B200" s="49" t="str">
        <f>'Product Catalog'!B198</f>
        <v>SKU-1195</v>
      </c>
      <c r="C200" s="49" t="str">
        <f>'Product Catalog'!C198</f>
        <v>Blueberry</v>
      </c>
      <c r="D200" s="49" t="str">
        <f>'Product Catalog'!D198</f>
        <v>Fruits</v>
      </c>
      <c r="E200" s="49" t="str">
        <f>'Product Catalog'!E198</f>
        <v>Peru</v>
      </c>
      <c r="F200" s="50">
        <f>'Product Catalog'!F198</f>
        <v>33.32</v>
      </c>
      <c r="G200" s="50">
        <f>Methodology!$C$6</f>
        <v>4.5</v>
      </c>
      <c r="H200" s="51">
        <f>(F200+G200)*(1+VLOOKUP(E200,'Tariff Rates'!B:E,2,FALSE()))</f>
        <v>37.82</v>
      </c>
      <c r="I200" s="52">
        <f>'Product Catalog'!H198/(1+'Product Catalog'!H198)</f>
        <v>0.23076923076923075</v>
      </c>
      <c r="J200" s="51">
        <f>(F200+G200)*(1+VLOOKUP(E200,'Tariff Rates'!B:E,3,FALSE()))</f>
        <v>41.602000000000004</v>
      </c>
      <c r="K200" s="52">
        <f>(H200*(1+'Product Catalog'!H198)-J200)/(H200*(1+'Product Catalog'!H198))</f>
        <v>0.15384615384615383</v>
      </c>
      <c r="L200" s="51">
        <f>(F200+G200)*(1+VLOOKUP(E200,'Tariff Rates'!B:E,4,FALSE()))</f>
        <v>43.492999999999995</v>
      </c>
      <c r="M200" s="52">
        <f>(H200*(1+'Product Catalog'!H198)-L200)/(H200*(1+'Product Catalog'!H198))</f>
        <v>0.11538461538461556</v>
      </c>
      <c r="N200" s="53">
        <f t="shared" si="3"/>
        <v>-0.1153846153846152</v>
      </c>
    </row>
    <row r="201" spans="2:14" x14ac:dyDescent="0.2">
      <c r="B201" s="54" t="str">
        <f>'Product Catalog'!B199</f>
        <v>SKU-1196</v>
      </c>
      <c r="C201" s="54" t="str">
        <f>'Product Catalog'!C199</f>
        <v>Raspberry</v>
      </c>
      <c r="D201" s="54" t="str">
        <f>'Product Catalog'!D199</f>
        <v>Fruits</v>
      </c>
      <c r="E201" s="54" t="str">
        <f>'Product Catalog'!E199</f>
        <v>Mexico</v>
      </c>
      <c r="F201" s="55">
        <f>'Product Catalog'!F199</f>
        <v>42.34</v>
      </c>
      <c r="G201" s="55">
        <f>Methodology!$C$6</f>
        <v>4.5</v>
      </c>
      <c r="H201" s="56">
        <f>(F201+G201)*(1+VLOOKUP(E201,'Tariff Rates'!B:E,2,FALSE()))</f>
        <v>46.84</v>
      </c>
      <c r="I201" s="57">
        <f>'Product Catalog'!H199/(1+'Product Catalog'!H199)</f>
        <v>0.23076923076923075</v>
      </c>
      <c r="J201" s="56">
        <f>(F201+G201)*(1+VLOOKUP(E201,'Tariff Rates'!B:E,3,FALSE()))</f>
        <v>51.524000000000008</v>
      </c>
      <c r="K201" s="57">
        <f>(H201*(1+'Product Catalog'!H199)-J201)/(H201*(1+'Product Catalog'!H199))</f>
        <v>0.15384615384615374</v>
      </c>
      <c r="L201" s="56">
        <f>(F201+G201)*(1+VLOOKUP(E201,'Tariff Rates'!B:E,4,FALSE()))</f>
        <v>58.550000000000004</v>
      </c>
      <c r="M201" s="57">
        <f>(H201*(1+'Product Catalog'!H199)-L201)/(H201*(1+'Product Catalog'!H199))</f>
        <v>3.8461538461538436E-2</v>
      </c>
      <c r="N201" s="58">
        <f t="shared" si="3"/>
        <v>-0.19230769230769232</v>
      </c>
    </row>
    <row r="202" spans="2:14" x14ac:dyDescent="0.2">
      <c r="B202" s="49" t="str">
        <f>'Product Catalog'!B200</f>
        <v>SKU-1197</v>
      </c>
      <c r="C202" s="49" t="str">
        <f>'Product Catalog'!C200</f>
        <v>Blackberry</v>
      </c>
      <c r="D202" s="49" t="str">
        <f>'Product Catalog'!D200</f>
        <v>Fruits</v>
      </c>
      <c r="E202" s="49" t="str">
        <f>'Product Catalog'!E200</f>
        <v>Mexico</v>
      </c>
      <c r="F202" s="50">
        <f>'Product Catalog'!F200</f>
        <v>36.6</v>
      </c>
      <c r="G202" s="50">
        <f>Methodology!$C$6</f>
        <v>4.5</v>
      </c>
      <c r="H202" s="51">
        <f>(F202+G202)*(1+VLOOKUP(E202,'Tariff Rates'!B:E,2,FALSE()))</f>
        <v>41.1</v>
      </c>
      <c r="I202" s="52">
        <f>'Product Catalog'!H200/(1+'Product Catalog'!H200)</f>
        <v>0.23076923076923075</v>
      </c>
      <c r="J202" s="51">
        <f>(F202+G202)*(1+VLOOKUP(E202,'Tariff Rates'!B:E,3,FALSE()))</f>
        <v>45.210000000000008</v>
      </c>
      <c r="K202" s="52">
        <f>(H202*(1+'Product Catalog'!H200)-J202)/(H202*(1+'Product Catalog'!H200))</f>
        <v>0.1538461538461538</v>
      </c>
      <c r="L202" s="51">
        <f>(F202+G202)*(1+VLOOKUP(E202,'Tariff Rates'!B:E,4,FALSE()))</f>
        <v>51.375</v>
      </c>
      <c r="M202" s="52">
        <f>(H202*(1+'Product Catalog'!H200)-L202)/(H202*(1+'Product Catalog'!H200))</f>
        <v>3.8461538461538582E-2</v>
      </c>
      <c r="N202" s="53">
        <f t="shared" si="3"/>
        <v>-0.19230769230769218</v>
      </c>
    </row>
    <row r="203" spans="2:14" x14ac:dyDescent="0.2">
      <c r="B203" s="54" t="str">
        <f>'Product Catalog'!B201</f>
        <v>SKU-1198</v>
      </c>
      <c r="C203" s="54" t="str">
        <f>'Product Catalog'!C201</f>
        <v>Peach (Yellow)</v>
      </c>
      <c r="D203" s="54" t="str">
        <f>'Product Catalog'!D201</f>
        <v>Stone Fruit</v>
      </c>
      <c r="E203" s="54" t="str">
        <f>'Product Catalog'!E201</f>
        <v>USA</v>
      </c>
      <c r="F203" s="55">
        <f>'Product Catalog'!F201</f>
        <v>26.51</v>
      </c>
      <c r="G203" s="55">
        <f>Methodology!$C$6</f>
        <v>4.5</v>
      </c>
      <c r="H203" s="56">
        <f>(F203+G203)*(1+VLOOKUP(E203,'Tariff Rates'!B:E,2,FALSE()))</f>
        <v>31.01</v>
      </c>
      <c r="I203" s="57">
        <f>'Product Catalog'!H201/(1+'Product Catalog'!H201)</f>
        <v>0.24242424242424243</v>
      </c>
      <c r="J203" s="56">
        <f>(F203+G203)*(1+VLOOKUP(E203,'Tariff Rates'!B:E,3,FALSE()))</f>
        <v>31.01</v>
      </c>
      <c r="K203" s="57">
        <f>(H203*(1+'Product Catalog'!H201)-J203)/(H203*(1+'Product Catalog'!H201))</f>
        <v>0.24242424242424251</v>
      </c>
      <c r="L203" s="56">
        <f>(F203+G203)*(1+VLOOKUP(E203,'Tariff Rates'!B:E,4,FALSE()))</f>
        <v>31.01</v>
      </c>
      <c r="M203" s="57">
        <f>(H203*(1+'Product Catalog'!H201)-L203)/(H203*(1+'Product Catalog'!H201))</f>
        <v>0.24242424242424251</v>
      </c>
      <c r="N203" s="58">
        <f t="shared" si="3"/>
        <v>0</v>
      </c>
    </row>
    <row r="204" spans="2:14" x14ac:dyDescent="0.2">
      <c r="B204" s="49" t="str">
        <f>'Product Catalog'!B202</f>
        <v>SKU-1199</v>
      </c>
      <c r="C204" s="49" t="str">
        <f>'Product Catalog'!C202</f>
        <v>Peach (White)</v>
      </c>
      <c r="D204" s="49" t="str">
        <f>'Product Catalog'!D202</f>
        <v>Stone Fruit</v>
      </c>
      <c r="E204" s="49" t="str">
        <f>'Product Catalog'!E202</f>
        <v>USA</v>
      </c>
      <c r="F204" s="50">
        <f>'Product Catalog'!F202</f>
        <v>37.99</v>
      </c>
      <c r="G204" s="50">
        <f>Methodology!$C$6</f>
        <v>4.5</v>
      </c>
      <c r="H204" s="51">
        <f>(F204+G204)*(1+VLOOKUP(E204,'Tariff Rates'!B:E,2,FALSE()))</f>
        <v>42.49</v>
      </c>
      <c r="I204" s="52">
        <f>'Product Catalog'!H202/(1+'Product Catalog'!H202)</f>
        <v>0.24242424242424243</v>
      </c>
      <c r="J204" s="51">
        <f>(F204+G204)*(1+VLOOKUP(E204,'Tariff Rates'!B:E,3,FALSE()))</f>
        <v>42.49</v>
      </c>
      <c r="K204" s="52">
        <f>(H204*(1+'Product Catalog'!H202)-J204)/(H204*(1+'Product Catalog'!H202))</f>
        <v>0.24242424242424243</v>
      </c>
      <c r="L204" s="51">
        <f>(F204+G204)*(1+VLOOKUP(E204,'Tariff Rates'!B:E,4,FALSE()))</f>
        <v>42.49</v>
      </c>
      <c r="M204" s="52">
        <f>(H204*(1+'Product Catalog'!H202)-L204)/(H204*(1+'Product Catalog'!H202))</f>
        <v>0.24242424242424243</v>
      </c>
      <c r="N204" s="53">
        <f t="shared" si="3"/>
        <v>0</v>
      </c>
    </row>
    <row r="205" spans="2:14" x14ac:dyDescent="0.2">
      <c r="B205" s="54" t="str">
        <f>'Product Catalog'!B203</f>
        <v>SKU-1200</v>
      </c>
      <c r="C205" s="54" t="str">
        <f>'Product Catalog'!C203</f>
        <v>Nectarine (Yellow)</v>
      </c>
      <c r="D205" s="54" t="str">
        <f>'Product Catalog'!D203</f>
        <v>Stone Fruit</v>
      </c>
      <c r="E205" s="54" t="str">
        <f>'Product Catalog'!E203</f>
        <v>USA</v>
      </c>
      <c r="F205" s="55">
        <f>'Product Catalog'!F203</f>
        <v>34.36</v>
      </c>
      <c r="G205" s="55">
        <f>Methodology!$C$6</f>
        <v>4.5</v>
      </c>
      <c r="H205" s="56">
        <f>(F205+G205)*(1+VLOOKUP(E205,'Tariff Rates'!B:E,2,FALSE()))</f>
        <v>38.86</v>
      </c>
      <c r="I205" s="57">
        <f>'Product Catalog'!H203/(1+'Product Catalog'!H203)</f>
        <v>0.24242424242424243</v>
      </c>
      <c r="J205" s="56">
        <f>(F205+G205)*(1+VLOOKUP(E205,'Tariff Rates'!B:E,3,FALSE()))</f>
        <v>38.86</v>
      </c>
      <c r="K205" s="57">
        <f>(H205*(1+'Product Catalog'!H203)-J205)/(H205*(1+'Product Catalog'!H203))</f>
        <v>0.24242424242424246</v>
      </c>
      <c r="L205" s="56">
        <f>(F205+G205)*(1+VLOOKUP(E205,'Tariff Rates'!B:E,4,FALSE()))</f>
        <v>38.86</v>
      </c>
      <c r="M205" s="57">
        <f>(H205*(1+'Product Catalog'!H203)-L205)/(H205*(1+'Product Catalog'!H203))</f>
        <v>0.24242424242424246</v>
      </c>
      <c r="N205" s="58">
        <f t="shared" si="3"/>
        <v>0</v>
      </c>
    </row>
    <row r="206" spans="2:14" x14ac:dyDescent="0.2">
      <c r="B206" s="49" t="str">
        <f>'Product Catalog'!B204</f>
        <v>SKU-1201</v>
      </c>
      <c r="C206" s="49" t="str">
        <f>'Product Catalog'!C204</f>
        <v>Nectarine (White)</v>
      </c>
      <c r="D206" s="49" t="str">
        <f>'Product Catalog'!D204</f>
        <v>Stone Fruit</v>
      </c>
      <c r="E206" s="49" t="str">
        <f>'Product Catalog'!E204</f>
        <v>USA</v>
      </c>
      <c r="F206" s="50">
        <f>'Product Catalog'!F204</f>
        <v>37.69</v>
      </c>
      <c r="G206" s="50">
        <f>Methodology!$C$6</f>
        <v>4.5</v>
      </c>
      <c r="H206" s="51">
        <f>(F206+G206)*(1+VLOOKUP(E206,'Tariff Rates'!B:E,2,FALSE()))</f>
        <v>42.19</v>
      </c>
      <c r="I206" s="52">
        <f>'Product Catalog'!H204/(1+'Product Catalog'!H204)</f>
        <v>0.24242424242424243</v>
      </c>
      <c r="J206" s="51">
        <f>(F206+G206)*(1+VLOOKUP(E206,'Tariff Rates'!B:E,3,FALSE()))</f>
        <v>42.19</v>
      </c>
      <c r="K206" s="52">
        <f>(H206*(1+'Product Catalog'!H204)-J206)/(H206*(1+'Product Catalog'!H204))</f>
        <v>0.24242424242424251</v>
      </c>
      <c r="L206" s="51">
        <f>(F206+G206)*(1+VLOOKUP(E206,'Tariff Rates'!B:E,4,FALSE()))</f>
        <v>42.19</v>
      </c>
      <c r="M206" s="52">
        <f>(H206*(1+'Product Catalog'!H204)-L206)/(H206*(1+'Product Catalog'!H204))</f>
        <v>0.24242424242424251</v>
      </c>
      <c r="N206" s="53">
        <f t="shared" si="3"/>
        <v>0</v>
      </c>
    </row>
    <row r="207" spans="2:14" x14ac:dyDescent="0.2">
      <c r="B207" s="54" t="str">
        <f>'Product Catalog'!B205</f>
        <v>SKU-1202</v>
      </c>
      <c r="C207" s="54" t="str">
        <f>'Product Catalog'!C205</f>
        <v>Plum (Red)</v>
      </c>
      <c r="D207" s="54" t="str">
        <f>'Product Catalog'!D205</f>
        <v>Stone Fruit</v>
      </c>
      <c r="E207" s="54" t="str">
        <f>'Product Catalog'!E205</f>
        <v>Chile</v>
      </c>
      <c r="F207" s="55">
        <f>'Product Catalog'!F205</f>
        <v>33.26</v>
      </c>
      <c r="G207" s="55">
        <f>Methodology!$C$6</f>
        <v>4.5</v>
      </c>
      <c r="H207" s="56">
        <f>(F207+G207)*(1+VLOOKUP(E207,'Tariff Rates'!B:E,2,FALSE()))</f>
        <v>37.76</v>
      </c>
      <c r="I207" s="57">
        <f>'Product Catalog'!H205/(1+'Product Catalog'!H205)</f>
        <v>0.24242424242424243</v>
      </c>
      <c r="J207" s="56">
        <f>(F207+G207)*(1+VLOOKUP(E207,'Tariff Rates'!B:E,3,FALSE()))</f>
        <v>41.536000000000001</v>
      </c>
      <c r="K207" s="57">
        <f>(H207*(1+'Product Catalog'!H205)-J207)/(H207*(1+'Product Catalog'!H205))</f>
        <v>0.16666666666666669</v>
      </c>
      <c r="L207" s="56">
        <f>(F207+G207)*(1+VLOOKUP(E207,'Tariff Rates'!B:E,4,FALSE()))</f>
        <v>43.423999999999992</v>
      </c>
      <c r="M207" s="57">
        <f>(H207*(1+'Product Catalog'!H205)-L207)/(H207*(1+'Product Catalog'!H205))</f>
        <v>0.12878787878787901</v>
      </c>
      <c r="N207" s="58">
        <f t="shared" si="3"/>
        <v>-0.11363636363636342</v>
      </c>
    </row>
    <row r="208" spans="2:14" x14ac:dyDescent="0.2">
      <c r="B208" s="49" t="str">
        <f>'Product Catalog'!B206</f>
        <v>SKU-1203</v>
      </c>
      <c r="C208" s="49" t="str">
        <f>'Product Catalog'!C206</f>
        <v>Plum (Black)</v>
      </c>
      <c r="D208" s="49" t="str">
        <f>'Product Catalog'!D206</f>
        <v>Stone Fruit</v>
      </c>
      <c r="E208" s="49" t="str">
        <f>'Product Catalog'!E206</f>
        <v>Chile</v>
      </c>
      <c r="F208" s="50">
        <f>'Product Catalog'!F206</f>
        <v>32.49</v>
      </c>
      <c r="G208" s="50">
        <f>Methodology!$C$6</f>
        <v>4.5</v>
      </c>
      <c r="H208" s="51">
        <f>(F208+G208)*(1+VLOOKUP(E208,'Tariff Rates'!B:E,2,FALSE()))</f>
        <v>36.99</v>
      </c>
      <c r="I208" s="52">
        <f>'Product Catalog'!H206/(1+'Product Catalog'!H206)</f>
        <v>0.24242424242424243</v>
      </c>
      <c r="J208" s="51">
        <f>(F208+G208)*(1+VLOOKUP(E208,'Tariff Rates'!B:E,3,FALSE()))</f>
        <v>40.689000000000007</v>
      </c>
      <c r="K208" s="52">
        <f>(H208*(1+'Product Catalog'!H206)-J208)/(H208*(1+'Product Catalog'!H206))</f>
        <v>0.16666666666666663</v>
      </c>
      <c r="L208" s="51">
        <f>(F208+G208)*(1+VLOOKUP(E208,'Tariff Rates'!B:E,4,FALSE()))</f>
        <v>42.538499999999999</v>
      </c>
      <c r="M208" s="52">
        <f>(H208*(1+'Product Catalog'!H206)-L208)/(H208*(1+'Product Catalog'!H206))</f>
        <v>0.1287878787878789</v>
      </c>
      <c r="N208" s="53">
        <f t="shared" si="3"/>
        <v>-0.11363636363636354</v>
      </c>
    </row>
    <row r="209" spans="2:14" x14ac:dyDescent="0.2">
      <c r="B209" s="54" t="str">
        <f>'Product Catalog'!B207</f>
        <v>SKU-1204</v>
      </c>
      <c r="C209" s="54" t="str">
        <f>'Product Catalog'!C207</f>
        <v>Pluot</v>
      </c>
      <c r="D209" s="54" t="str">
        <f>'Product Catalog'!D207</f>
        <v>Stone Fruit</v>
      </c>
      <c r="E209" s="54" t="str">
        <f>'Product Catalog'!E207</f>
        <v>USA</v>
      </c>
      <c r="F209" s="55">
        <f>'Product Catalog'!F207</f>
        <v>30</v>
      </c>
      <c r="G209" s="55">
        <f>Methodology!$C$6</f>
        <v>4.5</v>
      </c>
      <c r="H209" s="56">
        <f>(F209+G209)*(1+VLOOKUP(E209,'Tariff Rates'!B:E,2,FALSE()))</f>
        <v>34.5</v>
      </c>
      <c r="I209" s="57">
        <f>'Product Catalog'!H207/(1+'Product Catalog'!H207)</f>
        <v>0.24242424242424243</v>
      </c>
      <c r="J209" s="56">
        <f>(F209+G209)*(1+VLOOKUP(E209,'Tariff Rates'!B:E,3,FALSE()))</f>
        <v>34.5</v>
      </c>
      <c r="K209" s="57">
        <f>(H209*(1+'Product Catalog'!H207)-J209)/(H209*(1+'Product Catalog'!H207))</f>
        <v>0.2424242424242424</v>
      </c>
      <c r="L209" s="56">
        <f>(F209+G209)*(1+VLOOKUP(E209,'Tariff Rates'!B:E,4,FALSE()))</f>
        <v>34.5</v>
      </c>
      <c r="M209" s="57">
        <f>(H209*(1+'Product Catalog'!H207)-L209)/(H209*(1+'Product Catalog'!H207))</f>
        <v>0.2424242424242424</v>
      </c>
      <c r="N209" s="58">
        <f t="shared" si="3"/>
        <v>0</v>
      </c>
    </row>
    <row r="210" spans="2:14" x14ac:dyDescent="0.2">
      <c r="B210" s="49" t="str">
        <f>'Product Catalog'!B208</f>
        <v>SKU-1205</v>
      </c>
      <c r="C210" s="49" t="str">
        <f>'Product Catalog'!C208</f>
        <v>Apricot</v>
      </c>
      <c r="D210" s="49" t="str">
        <f>'Product Catalog'!D208</f>
        <v>Stone Fruit</v>
      </c>
      <c r="E210" s="49" t="str">
        <f>'Product Catalog'!E208</f>
        <v>USA</v>
      </c>
      <c r="F210" s="50">
        <f>'Product Catalog'!F208</f>
        <v>35.83</v>
      </c>
      <c r="G210" s="50">
        <f>Methodology!$C$6</f>
        <v>4.5</v>
      </c>
      <c r="H210" s="51">
        <f>(F210+G210)*(1+VLOOKUP(E210,'Tariff Rates'!B:E,2,FALSE()))</f>
        <v>40.33</v>
      </c>
      <c r="I210" s="52">
        <f>'Product Catalog'!H208/(1+'Product Catalog'!H208)</f>
        <v>0.24242424242424243</v>
      </c>
      <c r="J210" s="51">
        <f>(F210+G210)*(1+VLOOKUP(E210,'Tariff Rates'!B:E,3,FALSE()))</f>
        <v>40.33</v>
      </c>
      <c r="K210" s="52">
        <f>(H210*(1+'Product Catalog'!H208)-J210)/(H210*(1+'Product Catalog'!H208))</f>
        <v>0.24242424242424243</v>
      </c>
      <c r="L210" s="51">
        <f>(F210+G210)*(1+VLOOKUP(E210,'Tariff Rates'!B:E,4,FALSE()))</f>
        <v>40.33</v>
      </c>
      <c r="M210" s="52">
        <f>(H210*(1+'Product Catalog'!H208)-L210)/(H210*(1+'Product Catalog'!H208))</f>
        <v>0.24242424242424243</v>
      </c>
      <c r="N210" s="53">
        <f t="shared" si="3"/>
        <v>0</v>
      </c>
    </row>
    <row r="211" spans="2:14" x14ac:dyDescent="0.2">
      <c r="B211" s="54" t="str">
        <f>'Product Catalog'!B209</f>
        <v>SKU-1206</v>
      </c>
      <c r="C211" s="54" t="str">
        <f>'Product Catalog'!C209</f>
        <v>Cherry (Bing)</v>
      </c>
      <c r="D211" s="54" t="str">
        <f>'Product Catalog'!D209</f>
        <v>Stone Fruit</v>
      </c>
      <c r="E211" s="54" t="str">
        <f>'Product Catalog'!E209</f>
        <v>USA</v>
      </c>
      <c r="F211" s="55">
        <f>'Product Catalog'!F209</f>
        <v>52.27</v>
      </c>
      <c r="G211" s="55">
        <f>Methodology!$C$6</f>
        <v>4.5</v>
      </c>
      <c r="H211" s="56">
        <f>(F211+G211)*(1+VLOOKUP(E211,'Tariff Rates'!B:E,2,FALSE()))</f>
        <v>56.77</v>
      </c>
      <c r="I211" s="57">
        <f>'Product Catalog'!H209/(1+'Product Catalog'!H209)</f>
        <v>0.24242424242424243</v>
      </c>
      <c r="J211" s="56">
        <f>(F211+G211)*(1+VLOOKUP(E211,'Tariff Rates'!B:E,3,FALSE()))</f>
        <v>56.77</v>
      </c>
      <c r="K211" s="57">
        <f>(H211*(1+'Product Catalog'!H209)-J211)/(H211*(1+'Product Catalog'!H209))</f>
        <v>0.24242424242424243</v>
      </c>
      <c r="L211" s="56">
        <f>(F211+G211)*(1+VLOOKUP(E211,'Tariff Rates'!B:E,4,FALSE()))</f>
        <v>56.77</v>
      </c>
      <c r="M211" s="57">
        <f>(H211*(1+'Product Catalog'!H209)-L211)/(H211*(1+'Product Catalog'!H209))</f>
        <v>0.24242424242424243</v>
      </c>
      <c r="N211" s="58">
        <f t="shared" si="3"/>
        <v>0</v>
      </c>
    </row>
    <row r="212" spans="2:14" x14ac:dyDescent="0.2">
      <c r="B212" s="49" t="str">
        <f>'Product Catalog'!B210</f>
        <v>SKU-1207</v>
      </c>
      <c r="C212" s="49" t="str">
        <f>'Product Catalog'!C210</f>
        <v>Cherry (Rainier)</v>
      </c>
      <c r="D212" s="49" t="str">
        <f>'Product Catalog'!D210</f>
        <v>Stone Fruit</v>
      </c>
      <c r="E212" s="49" t="str">
        <f>'Product Catalog'!E210</f>
        <v>USA</v>
      </c>
      <c r="F212" s="50">
        <f>'Product Catalog'!F210</f>
        <v>66.02</v>
      </c>
      <c r="G212" s="50">
        <f>Methodology!$C$6</f>
        <v>4.5</v>
      </c>
      <c r="H212" s="51">
        <f>(F212+G212)*(1+VLOOKUP(E212,'Tariff Rates'!B:E,2,FALSE()))</f>
        <v>70.52</v>
      </c>
      <c r="I212" s="52">
        <f>'Product Catalog'!H210/(1+'Product Catalog'!H210)</f>
        <v>0.24242424242424243</v>
      </c>
      <c r="J212" s="51">
        <f>(F212+G212)*(1+VLOOKUP(E212,'Tariff Rates'!B:E,3,FALSE()))</f>
        <v>70.52</v>
      </c>
      <c r="K212" s="52">
        <f>(H212*(1+'Product Catalog'!H210)-J212)/(H212*(1+'Product Catalog'!H210))</f>
        <v>0.24242424242424246</v>
      </c>
      <c r="L212" s="51">
        <f>(F212+G212)*(1+VLOOKUP(E212,'Tariff Rates'!B:E,4,FALSE()))</f>
        <v>70.52</v>
      </c>
      <c r="M212" s="52">
        <f>(H212*(1+'Product Catalog'!H210)-L212)/(H212*(1+'Product Catalog'!H210))</f>
        <v>0.24242424242424246</v>
      </c>
      <c r="N212" s="53">
        <f t="shared" si="3"/>
        <v>0</v>
      </c>
    </row>
    <row r="213" spans="2:14" x14ac:dyDescent="0.2">
      <c r="B213" s="54" t="str">
        <f>'Product Catalog'!B211</f>
        <v>SKU-1208</v>
      </c>
      <c r="C213" s="54" t="str">
        <f>'Product Catalog'!C211</f>
        <v>Dried Lily Flower</v>
      </c>
      <c r="D213" s="54" t="str">
        <f>'Product Catalog'!D211</f>
        <v>Imported Dry Goods</v>
      </c>
      <c r="E213" s="54" t="str">
        <f>'Product Catalog'!E211</f>
        <v>China</v>
      </c>
      <c r="F213" s="55">
        <f>'Product Catalog'!F211</f>
        <v>69.41</v>
      </c>
      <c r="G213" s="55">
        <f>Methodology!$C$6</f>
        <v>4.5</v>
      </c>
      <c r="H213" s="56">
        <f>(F213+G213)*(1+VLOOKUP(E213,'Tariff Rates'!B:E,2,FALSE()))</f>
        <v>84.996499999999983</v>
      </c>
      <c r="I213" s="57">
        <f>'Product Catalog'!H211/(1+'Product Catalog'!H211)</f>
        <v>0.28571428571428575</v>
      </c>
      <c r="J213" s="56">
        <f>(F213+G213)*(1+VLOOKUP(E213,'Tariff Rates'!B:E,3,FALSE()))</f>
        <v>96.082999999999998</v>
      </c>
      <c r="K213" s="57">
        <f>(H213*(1+'Product Catalog'!H211)-J213)/(H213*(1+'Product Catalog'!H211))</f>
        <v>0.19254658385093146</v>
      </c>
      <c r="L213" s="56">
        <f>(F213+G213)*(1+VLOOKUP(E213,'Tariff Rates'!B:E,4,FALSE()))</f>
        <v>110.86499999999999</v>
      </c>
      <c r="M213" s="57">
        <f>(H213*(1+'Product Catalog'!H211)-L213)/(H213*(1+'Product Catalog'!H211))</f>
        <v>6.8322981366459395E-2</v>
      </c>
      <c r="N213" s="58">
        <f t="shared" si="3"/>
        <v>-0.21739130434782636</v>
      </c>
    </row>
    <row r="214" spans="2:14" x14ac:dyDescent="0.2">
      <c r="B214" s="49" t="str">
        <f>'Product Catalog'!B212</f>
        <v>SKU-1209</v>
      </c>
      <c r="C214" s="49" t="str">
        <f>'Product Catalog'!C212</f>
        <v>Dried Tangerine Peel</v>
      </c>
      <c r="D214" s="49" t="str">
        <f>'Product Catalog'!D212</f>
        <v>Imported Dry Goods</v>
      </c>
      <c r="E214" s="49" t="str">
        <f>'Product Catalog'!E212</f>
        <v>China</v>
      </c>
      <c r="F214" s="50">
        <f>'Product Catalog'!F212</f>
        <v>51.44</v>
      </c>
      <c r="G214" s="50">
        <f>Methodology!$C$6</f>
        <v>4.5</v>
      </c>
      <c r="H214" s="51">
        <f>(F214+G214)*(1+VLOOKUP(E214,'Tariff Rates'!B:E,2,FALSE()))</f>
        <v>64.330999999999989</v>
      </c>
      <c r="I214" s="52">
        <f>'Product Catalog'!H212/(1+'Product Catalog'!H212)</f>
        <v>0.28571428571428575</v>
      </c>
      <c r="J214" s="51">
        <f>(F214+G214)*(1+VLOOKUP(E214,'Tariff Rates'!B:E,3,FALSE()))</f>
        <v>72.721999999999994</v>
      </c>
      <c r="K214" s="52">
        <f>(H214*(1+'Product Catalog'!H212)-J214)/(H214*(1+'Product Catalog'!H212))</f>
        <v>0.19254658385093151</v>
      </c>
      <c r="L214" s="51">
        <f>(F214+G214)*(1+VLOOKUP(E214,'Tariff Rates'!B:E,4,FALSE()))</f>
        <v>83.91</v>
      </c>
      <c r="M214" s="52">
        <f>(H214*(1+'Product Catalog'!H212)-L214)/(H214*(1+'Product Catalog'!H212))</f>
        <v>6.8322981366459382E-2</v>
      </c>
      <c r="N214" s="53">
        <f t="shared" si="3"/>
        <v>-0.21739130434782639</v>
      </c>
    </row>
    <row r="215" spans="2:14" x14ac:dyDescent="0.2">
      <c r="B215" s="54" t="str">
        <f>'Product Catalog'!B213</f>
        <v>SKU-1210</v>
      </c>
      <c r="C215" s="54" t="str">
        <f>'Product Catalog'!C213</f>
        <v>Dried Bamboo Shoots</v>
      </c>
      <c r="D215" s="54" t="str">
        <f>'Product Catalog'!D213</f>
        <v>Imported Dry Goods</v>
      </c>
      <c r="E215" s="54" t="str">
        <f>'Product Catalog'!E213</f>
        <v>China</v>
      </c>
      <c r="F215" s="55">
        <f>'Product Catalog'!F213</f>
        <v>69.739999999999995</v>
      </c>
      <c r="G215" s="55">
        <f>Methodology!$C$6</f>
        <v>4.5</v>
      </c>
      <c r="H215" s="56">
        <f>(F215+G215)*(1+VLOOKUP(E215,'Tariff Rates'!B:E,2,FALSE()))</f>
        <v>85.375999999999991</v>
      </c>
      <c r="I215" s="57">
        <f>'Product Catalog'!H213/(1+'Product Catalog'!H213)</f>
        <v>0.28571428571428575</v>
      </c>
      <c r="J215" s="56">
        <f>(F215+G215)*(1+VLOOKUP(E215,'Tariff Rates'!B:E,3,FALSE()))</f>
        <v>96.512</v>
      </c>
      <c r="K215" s="57">
        <f>(H215*(1+'Product Catalog'!H213)-J215)/(H215*(1+'Product Catalog'!H213))</f>
        <v>0.19254658385093154</v>
      </c>
      <c r="L215" s="56">
        <f>(F215+G215)*(1+VLOOKUP(E215,'Tariff Rates'!B:E,4,FALSE()))</f>
        <v>111.35999999999999</v>
      </c>
      <c r="M215" s="57">
        <f>(H215*(1+'Product Catalog'!H213)-L215)/(H215*(1+'Product Catalog'!H213))</f>
        <v>6.8322981366459604E-2</v>
      </c>
      <c r="N215" s="58">
        <f t="shared" si="3"/>
        <v>-0.21739130434782616</v>
      </c>
    </row>
    <row r="216" spans="2:14" x14ac:dyDescent="0.2">
      <c r="B216" s="49" t="str">
        <f>'Product Catalog'!B214</f>
        <v>SKU-1211</v>
      </c>
      <c r="C216" s="49" t="str">
        <f>'Product Catalog'!C214</f>
        <v>Bamboo Shoots (Canned)</v>
      </c>
      <c r="D216" s="49" t="str">
        <f>'Product Catalog'!D214</f>
        <v>Imported Dry Goods</v>
      </c>
      <c r="E216" s="49" t="str">
        <f>'Product Catalog'!E214</f>
        <v>China</v>
      </c>
      <c r="F216" s="50">
        <f>'Product Catalog'!F214</f>
        <v>39.71</v>
      </c>
      <c r="G216" s="50">
        <f>Methodology!$C$6</f>
        <v>4.5</v>
      </c>
      <c r="H216" s="51">
        <f>(F216+G216)*(1+VLOOKUP(E216,'Tariff Rates'!B:E,2,FALSE()))</f>
        <v>50.841499999999996</v>
      </c>
      <c r="I216" s="52">
        <f>'Product Catalog'!H214/(1+'Product Catalog'!H214)</f>
        <v>0.28571428571428575</v>
      </c>
      <c r="J216" s="51">
        <f>(F216+G216)*(1+VLOOKUP(E216,'Tariff Rates'!B:E,3,FALSE()))</f>
        <v>57.473000000000006</v>
      </c>
      <c r="K216" s="52">
        <f>(H216*(1+'Product Catalog'!H214)-J216)/(H216*(1+'Product Catalog'!H214))</f>
        <v>0.19254658385093143</v>
      </c>
      <c r="L216" s="51">
        <f>(F216+G216)*(1+VLOOKUP(E216,'Tariff Rates'!B:E,4,FALSE()))</f>
        <v>66.314999999999998</v>
      </c>
      <c r="M216" s="52">
        <f>(H216*(1+'Product Catalog'!H214)-L216)/(H216*(1+'Product Catalog'!H214))</f>
        <v>6.8322981366459479E-2</v>
      </c>
      <c r="N216" s="53">
        <f t="shared" si="3"/>
        <v>-0.21739130434782628</v>
      </c>
    </row>
    <row r="217" spans="2:14" x14ac:dyDescent="0.2">
      <c r="B217" s="54" t="str">
        <f>'Product Catalog'!B215</f>
        <v>SKU-1212</v>
      </c>
      <c r="C217" s="54" t="str">
        <f>'Product Catalog'!C215</f>
        <v>Water Chestnut (Canned)</v>
      </c>
      <c r="D217" s="54" t="str">
        <f>'Product Catalog'!D215</f>
        <v>Imported Dry Goods</v>
      </c>
      <c r="E217" s="54" t="str">
        <f>'Product Catalog'!E215</f>
        <v>China</v>
      </c>
      <c r="F217" s="55">
        <f>'Product Catalog'!F215</f>
        <v>41.41</v>
      </c>
      <c r="G217" s="55">
        <f>Methodology!$C$6</f>
        <v>4.5</v>
      </c>
      <c r="H217" s="56">
        <f>(F217+G217)*(1+VLOOKUP(E217,'Tariff Rates'!B:E,2,FALSE()))</f>
        <v>52.796499999999995</v>
      </c>
      <c r="I217" s="57">
        <f>'Product Catalog'!H215/(1+'Product Catalog'!H215)</f>
        <v>0.28571428571428575</v>
      </c>
      <c r="J217" s="56">
        <f>(F217+G217)*(1+VLOOKUP(E217,'Tariff Rates'!B:E,3,FALSE()))</f>
        <v>59.683</v>
      </c>
      <c r="K217" s="57">
        <f>(H217*(1+'Product Catalog'!H215)-J217)/(H217*(1+'Product Catalog'!H215))</f>
        <v>0.19254658385093149</v>
      </c>
      <c r="L217" s="56">
        <f>(F217+G217)*(1+VLOOKUP(E217,'Tariff Rates'!B:E,4,FALSE()))</f>
        <v>68.864999999999995</v>
      </c>
      <c r="M217" s="57">
        <f>(H217*(1+'Product Catalog'!H215)-L217)/(H217*(1+'Product Catalog'!H215))</f>
        <v>6.8322981366459465E-2</v>
      </c>
      <c r="N217" s="58">
        <f t="shared" si="3"/>
        <v>-0.21739130434782628</v>
      </c>
    </row>
    <row r="218" spans="2:14" x14ac:dyDescent="0.2">
      <c r="B218" s="49" t="str">
        <f>'Product Catalog'!B216</f>
        <v>SKU-1213</v>
      </c>
      <c r="C218" s="49" t="str">
        <f>'Product Catalog'!C216</f>
        <v>Preserved Radish</v>
      </c>
      <c r="D218" s="49" t="str">
        <f>'Product Catalog'!D216</f>
        <v>Imported Dry Goods</v>
      </c>
      <c r="E218" s="49" t="str">
        <f>'Product Catalog'!E216</f>
        <v>China</v>
      </c>
      <c r="F218" s="50">
        <f>'Product Catalog'!F216</f>
        <v>32.549999999999997</v>
      </c>
      <c r="G218" s="50">
        <f>Methodology!$C$6</f>
        <v>4.5</v>
      </c>
      <c r="H218" s="51">
        <f>(F218+G218)*(1+VLOOKUP(E218,'Tariff Rates'!B:E,2,FALSE()))</f>
        <v>42.607499999999995</v>
      </c>
      <c r="I218" s="52">
        <f>'Product Catalog'!H216/(1+'Product Catalog'!H216)</f>
        <v>0.28571428571428575</v>
      </c>
      <c r="J218" s="51">
        <f>(F218+G218)*(1+VLOOKUP(E218,'Tariff Rates'!B:E,3,FALSE()))</f>
        <v>48.164999999999999</v>
      </c>
      <c r="K218" s="52">
        <f>(H218*(1+'Product Catalog'!H216)-J218)/(H218*(1+'Product Catalog'!H216))</f>
        <v>0.19254658385093151</v>
      </c>
      <c r="L218" s="51">
        <f>(F218+G218)*(1+VLOOKUP(E218,'Tariff Rates'!B:E,4,FALSE()))</f>
        <v>55.574999999999996</v>
      </c>
      <c r="M218" s="52">
        <f>(H218*(1+'Product Catalog'!H216)-L218)/(H218*(1+'Product Catalog'!H216))</f>
        <v>6.8322981366459493E-2</v>
      </c>
      <c r="N218" s="53">
        <f t="shared" si="3"/>
        <v>-0.21739130434782628</v>
      </c>
    </row>
    <row r="219" spans="2:14" x14ac:dyDescent="0.2">
      <c r="B219" s="54" t="str">
        <f>'Product Catalog'!B217</f>
        <v>SKU-1214</v>
      </c>
      <c r="C219" s="54" t="str">
        <f>'Product Catalog'!C217</f>
        <v>Sichuan Preserved Veg</v>
      </c>
      <c r="D219" s="54" t="str">
        <f>'Product Catalog'!D217</f>
        <v>Imported Dry Goods</v>
      </c>
      <c r="E219" s="54" t="str">
        <f>'Product Catalog'!E217</f>
        <v>China</v>
      </c>
      <c r="F219" s="55">
        <f>'Product Catalog'!F217</f>
        <v>39.08</v>
      </c>
      <c r="G219" s="55">
        <f>Methodology!$C$6</f>
        <v>4.5</v>
      </c>
      <c r="H219" s="56">
        <f>(F219+G219)*(1+VLOOKUP(E219,'Tariff Rates'!B:E,2,FALSE()))</f>
        <v>50.116999999999997</v>
      </c>
      <c r="I219" s="57">
        <f>'Product Catalog'!H217/(1+'Product Catalog'!H217)</f>
        <v>0.28571428571428575</v>
      </c>
      <c r="J219" s="56">
        <f>(F219+G219)*(1+VLOOKUP(E219,'Tariff Rates'!B:E,3,FALSE()))</f>
        <v>56.653999999999996</v>
      </c>
      <c r="K219" s="57">
        <f>(H219*(1+'Product Catalog'!H217)-J219)/(H219*(1+'Product Catalog'!H217))</f>
        <v>0.19254658385093168</v>
      </c>
      <c r="L219" s="56">
        <f>(F219+G219)*(1+VLOOKUP(E219,'Tariff Rates'!B:E,4,FALSE()))</f>
        <v>65.37</v>
      </c>
      <c r="M219" s="57">
        <f>(H219*(1+'Product Catalog'!H217)-L219)/(H219*(1+'Product Catalog'!H217))</f>
        <v>6.8322981366459493E-2</v>
      </c>
      <c r="N219" s="58">
        <f t="shared" si="3"/>
        <v>-0.21739130434782628</v>
      </c>
    </row>
    <row r="220" spans="2:14" x14ac:dyDescent="0.2">
      <c r="B220" s="49" t="str">
        <f>'Product Catalog'!B218</f>
        <v>SKU-1215</v>
      </c>
      <c r="C220" s="49" t="str">
        <f>'Product Catalog'!C218</f>
        <v>Dried Shrimp</v>
      </c>
      <c r="D220" s="49" t="str">
        <f>'Product Catalog'!D218</f>
        <v>Imported Dry Goods</v>
      </c>
      <c r="E220" s="49" t="str">
        <f>'Product Catalog'!E218</f>
        <v>China</v>
      </c>
      <c r="F220" s="50">
        <f>'Product Catalog'!F218</f>
        <v>113.72</v>
      </c>
      <c r="G220" s="50">
        <f>Methodology!$C$6</f>
        <v>4.5</v>
      </c>
      <c r="H220" s="51">
        <f>(F220+G220)*(1+VLOOKUP(E220,'Tariff Rates'!B:E,2,FALSE()))</f>
        <v>135.95299999999997</v>
      </c>
      <c r="I220" s="52">
        <f>'Product Catalog'!H218/(1+'Product Catalog'!H218)</f>
        <v>0.28571428571428575</v>
      </c>
      <c r="J220" s="51">
        <f>(F220+G220)*(1+VLOOKUP(E220,'Tariff Rates'!B:E,3,FALSE()))</f>
        <v>153.68600000000001</v>
      </c>
      <c r="K220" s="52">
        <f>(H220*(1+'Product Catalog'!H218)-J220)/(H220*(1+'Product Catalog'!H218))</f>
        <v>0.19254658385093143</v>
      </c>
      <c r="L220" s="51">
        <f>(F220+G220)*(1+VLOOKUP(E220,'Tariff Rates'!B:E,4,FALSE()))</f>
        <v>177.32999999999998</v>
      </c>
      <c r="M220" s="52">
        <f>(H220*(1+'Product Catalog'!H218)-L220)/(H220*(1+'Product Catalog'!H218))</f>
        <v>6.8322981366459479E-2</v>
      </c>
      <c r="N220" s="53">
        <f t="shared" si="3"/>
        <v>-0.21739130434782628</v>
      </c>
    </row>
    <row r="221" spans="2:14" x14ac:dyDescent="0.2">
      <c r="B221" s="54" t="str">
        <f>'Product Catalog'!B219</f>
        <v>SKU-1216</v>
      </c>
      <c r="C221" s="54" t="str">
        <f>'Product Catalog'!C219</f>
        <v>Wolfberries (Goji)</v>
      </c>
      <c r="D221" s="54" t="str">
        <f>'Product Catalog'!D219</f>
        <v>Imported Dry Goods</v>
      </c>
      <c r="E221" s="54" t="str">
        <f>'Product Catalog'!E219</f>
        <v>China</v>
      </c>
      <c r="F221" s="55">
        <f>'Product Catalog'!F219</f>
        <v>64.92</v>
      </c>
      <c r="G221" s="55">
        <f>Methodology!$C$6</f>
        <v>4.5</v>
      </c>
      <c r="H221" s="56">
        <f>(F221+G221)*(1+VLOOKUP(E221,'Tariff Rates'!B:E,2,FALSE()))</f>
        <v>79.832999999999998</v>
      </c>
      <c r="I221" s="57">
        <f>'Product Catalog'!H219/(1+'Product Catalog'!H219)</f>
        <v>0.28571428571428575</v>
      </c>
      <c r="J221" s="56">
        <f>(F221+G221)*(1+VLOOKUP(E221,'Tariff Rates'!B:E,3,FALSE()))</f>
        <v>90.246000000000009</v>
      </c>
      <c r="K221" s="57">
        <f>(H221*(1+'Product Catalog'!H219)-J221)/(H221*(1+'Product Catalog'!H219))</f>
        <v>0.19254658385093157</v>
      </c>
      <c r="L221" s="56">
        <f>(F221+G221)*(1+VLOOKUP(E221,'Tariff Rates'!B:E,4,FALSE()))</f>
        <v>104.13</v>
      </c>
      <c r="M221" s="57">
        <f>(H221*(1+'Product Catalog'!H219)-L221)/(H221*(1+'Product Catalog'!H219))</f>
        <v>6.8322981366459645E-2</v>
      </c>
      <c r="N221" s="58">
        <f t="shared" si="3"/>
        <v>-0.21739130434782611</v>
      </c>
    </row>
    <row r="222" spans="2:14" x14ac:dyDescent="0.2">
      <c r="B222" s="49" t="str">
        <f>'Product Catalog'!B220</f>
        <v>SKU-1217</v>
      </c>
      <c r="C222" s="49" t="str">
        <f>'Product Catalog'!C220</f>
        <v>Red Date (Jujube)</v>
      </c>
      <c r="D222" s="49" t="str">
        <f>'Product Catalog'!D220</f>
        <v>Imported Dry Goods</v>
      </c>
      <c r="E222" s="49" t="str">
        <f>'Product Catalog'!E220</f>
        <v>China</v>
      </c>
      <c r="F222" s="50">
        <f>'Product Catalog'!F220</f>
        <v>50.89</v>
      </c>
      <c r="G222" s="50">
        <f>Methodology!$C$6</f>
        <v>4.5</v>
      </c>
      <c r="H222" s="51">
        <f>(F222+G222)*(1+VLOOKUP(E222,'Tariff Rates'!B:E,2,FALSE()))</f>
        <v>63.698499999999996</v>
      </c>
      <c r="I222" s="52">
        <f>'Product Catalog'!H220/(1+'Product Catalog'!H220)</f>
        <v>0.28571428571428575</v>
      </c>
      <c r="J222" s="51">
        <f>(F222+G222)*(1+VLOOKUP(E222,'Tariff Rates'!B:E,3,FALSE()))</f>
        <v>72.007000000000005</v>
      </c>
      <c r="K222" s="52">
        <f>(H222*(1+'Product Catalog'!H220)-J222)/(H222*(1+'Product Catalog'!H220))</f>
        <v>0.19254658385093157</v>
      </c>
      <c r="L222" s="51">
        <f>(F222+G222)*(1+VLOOKUP(E222,'Tariff Rates'!B:E,4,FALSE()))</f>
        <v>83.085000000000008</v>
      </c>
      <c r="M222" s="52">
        <f>(H222*(1+'Product Catalog'!H220)-L222)/(H222*(1+'Product Catalog'!H220))</f>
        <v>6.8322981366459479E-2</v>
      </c>
      <c r="N222" s="53">
        <f t="shared" si="3"/>
        <v>-0.21739130434782628</v>
      </c>
    </row>
    <row r="223" spans="2:14" x14ac:dyDescent="0.2">
      <c r="B223" s="54" t="str">
        <f>'Product Catalog'!B221</f>
        <v>SKU-1218</v>
      </c>
      <c r="C223" s="54" t="str">
        <f>'Product Catalog'!C221</f>
        <v>Italian Radicchio</v>
      </c>
      <c r="D223" s="54" t="str">
        <f>'Product Catalog'!D221</f>
        <v>Specialty</v>
      </c>
      <c r="E223" s="54" t="str">
        <f>'Product Catalog'!E221</f>
        <v>Italy</v>
      </c>
      <c r="F223" s="55">
        <f>'Product Catalog'!F221</f>
        <v>40.619999999999997</v>
      </c>
      <c r="G223" s="55">
        <f>Methodology!$C$6</f>
        <v>4.5</v>
      </c>
      <c r="H223" s="56">
        <f>(F223+G223)*(1+VLOOKUP(E223,'Tariff Rates'!B:E,2,FALSE()))</f>
        <v>47.375999999999998</v>
      </c>
      <c r="I223" s="57">
        <f>'Product Catalog'!H221/(1+'Product Catalog'!H221)</f>
        <v>0.31034482758620691</v>
      </c>
      <c r="J223" s="56">
        <f>(F223+G223)*(1+VLOOKUP(E223,'Tariff Rates'!B:E,3,FALSE()))</f>
        <v>51.887999999999991</v>
      </c>
      <c r="K223" s="57">
        <f>(H223*(1+'Product Catalog'!H221)-J223)/(H223*(1+'Product Catalog'!H221))</f>
        <v>0.24466338259441719</v>
      </c>
      <c r="L223" s="56">
        <f>(F223+G223)*(1+VLOOKUP(E223,'Tariff Rates'!B:E,4,FALSE()))</f>
        <v>54.143999999999998</v>
      </c>
      <c r="M223" s="57">
        <f>(H223*(1+'Product Catalog'!H221)-L223)/(H223*(1+'Product Catalog'!H221))</f>
        <v>0.21182266009852219</v>
      </c>
      <c r="N223" s="58">
        <f t="shared" si="3"/>
        <v>-9.852216748768472E-2</v>
      </c>
    </row>
    <row r="224" spans="2:14" x14ac:dyDescent="0.2">
      <c r="B224" s="49" t="str">
        <f>'Product Catalog'!B222</f>
        <v>SKU-1219</v>
      </c>
      <c r="C224" s="49" t="str">
        <f>'Product Catalog'!C222</f>
        <v>Castelfranco</v>
      </c>
      <c r="D224" s="49" t="str">
        <f>'Product Catalog'!D222</f>
        <v>Specialty</v>
      </c>
      <c r="E224" s="49" t="str">
        <f>'Product Catalog'!E222</f>
        <v>Italy</v>
      </c>
      <c r="F224" s="50">
        <f>'Product Catalog'!F222</f>
        <v>40.17</v>
      </c>
      <c r="G224" s="50">
        <f>Methodology!$C$6</f>
        <v>4.5</v>
      </c>
      <c r="H224" s="51">
        <f>(F224+G224)*(1+VLOOKUP(E224,'Tariff Rates'!B:E,2,FALSE()))</f>
        <v>46.903500000000001</v>
      </c>
      <c r="I224" s="52">
        <f>'Product Catalog'!H222/(1+'Product Catalog'!H222)</f>
        <v>0.31034482758620691</v>
      </c>
      <c r="J224" s="51">
        <f>(F224+G224)*(1+VLOOKUP(E224,'Tariff Rates'!B:E,3,FALSE()))</f>
        <v>51.3705</v>
      </c>
      <c r="K224" s="52">
        <f>(H224*(1+'Product Catalog'!H222)-J224)/(H224*(1+'Product Catalog'!H222))</f>
        <v>0.24466338259441708</v>
      </c>
      <c r="L224" s="51">
        <f>(F224+G224)*(1+VLOOKUP(E224,'Tariff Rates'!B:E,4,FALSE()))</f>
        <v>53.603999999999999</v>
      </c>
      <c r="M224" s="52">
        <f>(H224*(1+'Product Catalog'!H222)-L224)/(H224*(1+'Product Catalog'!H222))</f>
        <v>0.21182266009852219</v>
      </c>
      <c r="N224" s="53">
        <f t="shared" si="3"/>
        <v>-9.852216748768472E-2</v>
      </c>
    </row>
    <row r="225" spans="2:14" x14ac:dyDescent="0.2">
      <c r="B225" s="54" t="str">
        <f>'Product Catalog'!B223</f>
        <v>SKU-1220</v>
      </c>
      <c r="C225" s="54" t="str">
        <f>'Product Catalog'!C223</f>
        <v>Romanesco Broccoli</v>
      </c>
      <c r="D225" s="54" t="str">
        <f>'Product Catalog'!D223</f>
        <v>Specialty</v>
      </c>
      <c r="E225" s="54" t="str">
        <f>'Product Catalog'!E223</f>
        <v>Italy</v>
      </c>
      <c r="F225" s="55">
        <f>'Product Catalog'!F223</f>
        <v>30.97</v>
      </c>
      <c r="G225" s="55">
        <f>Methodology!$C$6</f>
        <v>4.5</v>
      </c>
      <c r="H225" s="56">
        <f>(F225+G225)*(1+VLOOKUP(E225,'Tariff Rates'!B:E,2,FALSE()))</f>
        <v>37.243499999999997</v>
      </c>
      <c r="I225" s="57">
        <f>'Product Catalog'!H223/(1+'Product Catalog'!H223)</f>
        <v>0.31034482758620691</v>
      </c>
      <c r="J225" s="56">
        <f>(F225+G225)*(1+VLOOKUP(E225,'Tariff Rates'!B:E,3,FALSE()))</f>
        <v>40.790499999999994</v>
      </c>
      <c r="K225" s="57">
        <f>(H225*(1+'Product Catalog'!H223)-J225)/(H225*(1+'Product Catalog'!H223))</f>
        <v>0.24466338259441711</v>
      </c>
      <c r="L225" s="56">
        <f>(F225+G225)*(1+VLOOKUP(E225,'Tariff Rates'!B:E,4,FALSE()))</f>
        <v>42.564</v>
      </c>
      <c r="M225" s="57">
        <f>(H225*(1+'Product Catalog'!H223)-L225)/(H225*(1+'Product Catalog'!H223))</f>
        <v>0.2118226600985221</v>
      </c>
      <c r="N225" s="58">
        <f t="shared" si="3"/>
        <v>-9.8522167487684803E-2</v>
      </c>
    </row>
    <row r="226" spans="2:14" x14ac:dyDescent="0.2">
      <c r="B226" s="49" t="str">
        <f>'Product Catalog'!B224</f>
        <v>SKU-1221</v>
      </c>
      <c r="C226" s="49" t="str">
        <f>'Product Catalog'!C224</f>
        <v>Saffron</v>
      </c>
      <c r="D226" s="49" t="str">
        <f>'Product Catalog'!D224</f>
        <v>Specialty</v>
      </c>
      <c r="E226" s="49" t="str">
        <f>'Product Catalog'!E224</f>
        <v>Spain</v>
      </c>
      <c r="F226" s="50">
        <f>'Product Catalog'!F224</f>
        <v>238.12</v>
      </c>
      <c r="G226" s="50">
        <f>Methodology!$C$6</f>
        <v>4.5</v>
      </c>
      <c r="H226" s="51">
        <f>(F226+G226)*(1+VLOOKUP(E226,'Tariff Rates'!B:E,2,FALSE()))</f>
        <v>254.751</v>
      </c>
      <c r="I226" s="52">
        <f>'Product Catalog'!H224/(1+'Product Catalog'!H224)</f>
        <v>0.31034482758620691</v>
      </c>
      <c r="J226" s="51">
        <f>(F226+G226)*(1+VLOOKUP(E226,'Tariff Rates'!B:E,3,FALSE()))</f>
        <v>279.01299999999998</v>
      </c>
      <c r="K226" s="52">
        <f>(H226*(1+'Product Catalog'!H224)-J226)/(H226*(1+'Product Catalog'!H224))</f>
        <v>0.24466338259441719</v>
      </c>
      <c r="L226" s="51">
        <f>(F226+G226)*(1+VLOOKUP(E226,'Tariff Rates'!B:E,4,FALSE()))</f>
        <v>291.14400000000001</v>
      </c>
      <c r="M226" s="52">
        <f>(H226*(1+'Product Catalog'!H224)-L226)/(H226*(1+'Product Catalog'!H224))</f>
        <v>0.21182266009852221</v>
      </c>
      <c r="N226" s="53">
        <f t="shared" si="3"/>
        <v>-9.8522167487684692E-2</v>
      </c>
    </row>
    <row r="227" spans="2:14" x14ac:dyDescent="0.2">
      <c r="B227" s="54" t="str">
        <f>'Product Catalog'!B225</f>
        <v>SKU-1222</v>
      </c>
      <c r="C227" s="54" t="str">
        <f>'Product Catalog'!C225</f>
        <v>Piquillo Pepper</v>
      </c>
      <c r="D227" s="54" t="str">
        <f>'Product Catalog'!D225</f>
        <v>Specialty</v>
      </c>
      <c r="E227" s="54" t="str">
        <f>'Product Catalog'!E225</f>
        <v>Spain</v>
      </c>
      <c r="F227" s="55">
        <f>'Product Catalog'!F225</f>
        <v>57.85</v>
      </c>
      <c r="G227" s="55">
        <f>Methodology!$C$6</f>
        <v>4.5</v>
      </c>
      <c r="H227" s="56">
        <f>(F227+G227)*(1+VLOOKUP(E227,'Tariff Rates'!B:E,2,FALSE()))</f>
        <v>65.467500000000001</v>
      </c>
      <c r="I227" s="57">
        <f>'Product Catalog'!H225/(1+'Product Catalog'!H225)</f>
        <v>0.31034482758620691</v>
      </c>
      <c r="J227" s="56">
        <f>(F227+G227)*(1+VLOOKUP(E227,'Tariff Rates'!B:E,3,FALSE()))</f>
        <v>71.702500000000001</v>
      </c>
      <c r="K227" s="57">
        <f>(H227*(1+'Product Catalog'!H225)-J227)/(H227*(1+'Product Catalog'!H225))</f>
        <v>0.24466338259441708</v>
      </c>
      <c r="L227" s="56">
        <f>(F227+G227)*(1+VLOOKUP(E227,'Tariff Rates'!B:E,4,FALSE()))</f>
        <v>74.819999999999993</v>
      </c>
      <c r="M227" s="57">
        <f>(H227*(1+'Product Catalog'!H225)-L227)/(H227*(1+'Product Catalog'!H225))</f>
        <v>0.21182266009852224</v>
      </c>
      <c r="N227" s="58">
        <f t="shared" si="3"/>
        <v>-9.8522167487684664E-2</v>
      </c>
    </row>
    <row r="228" spans="2:14" x14ac:dyDescent="0.2">
      <c r="B228" s="49" t="str">
        <f>'Product Catalog'!B226</f>
        <v>SKU-1223</v>
      </c>
      <c r="C228" s="49" t="str">
        <f>'Product Catalog'!C226</f>
        <v>Tomatillo</v>
      </c>
      <c r="D228" s="49" t="str">
        <f>'Product Catalog'!D226</f>
        <v>Specialty</v>
      </c>
      <c r="E228" s="49" t="str">
        <f>'Product Catalog'!E226</f>
        <v>Mexico</v>
      </c>
      <c r="F228" s="50">
        <f>'Product Catalog'!F226</f>
        <v>18.34</v>
      </c>
      <c r="G228" s="50">
        <f>Methodology!$C$6</f>
        <v>4.5</v>
      </c>
      <c r="H228" s="51">
        <f>(F228+G228)*(1+VLOOKUP(E228,'Tariff Rates'!B:E,2,FALSE()))</f>
        <v>22.84</v>
      </c>
      <c r="I228" s="52">
        <f>'Product Catalog'!H226/(1+'Product Catalog'!H226)</f>
        <v>0.31034482758620691</v>
      </c>
      <c r="J228" s="51">
        <f>(F228+G228)*(1+VLOOKUP(E228,'Tariff Rates'!B:E,3,FALSE()))</f>
        <v>25.124000000000002</v>
      </c>
      <c r="K228" s="52">
        <f>(H228*(1+'Product Catalog'!H226)-J228)/(H228*(1+'Product Catalog'!H226))</f>
        <v>0.24137931034482757</v>
      </c>
      <c r="L228" s="51">
        <f>(F228+G228)*(1+VLOOKUP(E228,'Tariff Rates'!B:E,4,FALSE()))</f>
        <v>28.55</v>
      </c>
      <c r="M228" s="52">
        <f>(H228*(1+'Product Catalog'!H226)-L228)/(H228*(1+'Product Catalog'!H226))</f>
        <v>0.13793103448275865</v>
      </c>
      <c r="N228" s="53">
        <f t="shared" si="3"/>
        <v>-0.17241379310344826</v>
      </c>
    </row>
    <row r="229" spans="2:14" x14ac:dyDescent="0.2">
      <c r="B229" s="54" t="str">
        <f>'Product Catalog'!B227</f>
        <v>SKU-1224</v>
      </c>
      <c r="C229" s="54" t="str">
        <f>'Product Catalog'!C227</f>
        <v>Nopales (Cactus)</v>
      </c>
      <c r="D229" s="54" t="str">
        <f>'Product Catalog'!D227</f>
        <v>Specialty</v>
      </c>
      <c r="E229" s="54" t="str">
        <f>'Product Catalog'!E227</f>
        <v>Mexico</v>
      </c>
      <c r="F229" s="55">
        <f>'Product Catalog'!F227</f>
        <v>23.98</v>
      </c>
      <c r="G229" s="55">
        <f>Methodology!$C$6</f>
        <v>4.5</v>
      </c>
      <c r="H229" s="56">
        <f>(F229+G229)*(1+VLOOKUP(E229,'Tariff Rates'!B:E,2,FALSE()))</f>
        <v>28.48</v>
      </c>
      <c r="I229" s="57">
        <f>'Product Catalog'!H227/(1+'Product Catalog'!H227)</f>
        <v>0.31034482758620691</v>
      </c>
      <c r="J229" s="56">
        <f>(F229+G229)*(1+VLOOKUP(E229,'Tariff Rates'!B:E,3,FALSE()))</f>
        <v>31.328000000000003</v>
      </c>
      <c r="K229" s="57">
        <f>(H229*(1+'Product Catalog'!H227)-J229)/(H229*(1+'Product Catalog'!H227))</f>
        <v>0.24137931034482751</v>
      </c>
      <c r="L229" s="56">
        <f>(F229+G229)*(1+VLOOKUP(E229,'Tariff Rates'!B:E,4,FALSE()))</f>
        <v>35.6</v>
      </c>
      <c r="M229" s="57">
        <f>(H229*(1+'Product Catalog'!H227)-L229)/(H229*(1+'Product Catalog'!H227))</f>
        <v>0.13793103448275856</v>
      </c>
      <c r="N229" s="58">
        <f t="shared" si="3"/>
        <v>-0.17241379310344834</v>
      </c>
    </row>
    <row r="230" spans="2:14" x14ac:dyDescent="0.2">
      <c r="B230" s="49" t="str">
        <f>'Product Catalog'!B228</f>
        <v>SKU-1225</v>
      </c>
      <c r="C230" s="49" t="str">
        <f>'Product Catalog'!C228</f>
        <v>Epazote</v>
      </c>
      <c r="D230" s="49" t="str">
        <f>'Product Catalog'!D228</f>
        <v>Specialty</v>
      </c>
      <c r="E230" s="49" t="str">
        <f>'Product Catalog'!E228</f>
        <v>Mexico</v>
      </c>
      <c r="F230" s="50">
        <f>'Product Catalog'!F228</f>
        <v>22.57</v>
      </c>
      <c r="G230" s="50">
        <f>Methodology!$C$6</f>
        <v>4.5</v>
      </c>
      <c r="H230" s="51">
        <f>(F230+G230)*(1+VLOOKUP(E230,'Tariff Rates'!B:E,2,FALSE()))</f>
        <v>27.07</v>
      </c>
      <c r="I230" s="52">
        <f>'Product Catalog'!H228/(1+'Product Catalog'!H228)</f>
        <v>0.31034482758620691</v>
      </c>
      <c r="J230" s="51">
        <f>(F230+G230)*(1+VLOOKUP(E230,'Tariff Rates'!B:E,3,FALSE()))</f>
        <v>29.777000000000001</v>
      </c>
      <c r="K230" s="52">
        <f>(H230*(1+'Product Catalog'!H228)-J230)/(H230*(1+'Product Catalog'!H228))</f>
        <v>0.24137931034482757</v>
      </c>
      <c r="L230" s="51">
        <f>(F230+G230)*(1+VLOOKUP(E230,'Tariff Rates'!B:E,4,FALSE()))</f>
        <v>33.837499999999999</v>
      </c>
      <c r="M230" s="52">
        <f>(H230*(1+'Product Catalog'!H228)-L230)/(H230*(1+'Product Catalog'!H228))</f>
        <v>0.13793103448275865</v>
      </c>
      <c r="N230" s="53">
        <f t="shared" si="3"/>
        <v>-0.17241379310344826</v>
      </c>
    </row>
    <row r="231" spans="2:14" x14ac:dyDescent="0.2">
      <c r="B231" s="54" t="str">
        <f>'Product Catalog'!B229</f>
        <v>SKU-1226</v>
      </c>
      <c r="C231" s="54" t="str">
        <f>'Product Catalog'!C229</f>
        <v>Yucca Flowers</v>
      </c>
      <c r="D231" s="54" t="str">
        <f>'Product Catalog'!D229</f>
        <v>Specialty</v>
      </c>
      <c r="E231" s="54" t="str">
        <f>'Product Catalog'!E229</f>
        <v>Mexico</v>
      </c>
      <c r="F231" s="55">
        <f>'Product Catalog'!F229</f>
        <v>33.840000000000003</v>
      </c>
      <c r="G231" s="55">
        <f>Methodology!$C$6</f>
        <v>4.5</v>
      </c>
      <c r="H231" s="56">
        <f>(F231+G231)*(1+VLOOKUP(E231,'Tariff Rates'!B:E,2,FALSE()))</f>
        <v>38.340000000000003</v>
      </c>
      <c r="I231" s="57">
        <f>'Product Catalog'!H229/(1+'Product Catalog'!H229)</f>
        <v>0.31034482758620691</v>
      </c>
      <c r="J231" s="56">
        <f>(F231+G231)*(1+VLOOKUP(E231,'Tariff Rates'!B:E,3,FALSE()))</f>
        <v>42.174000000000007</v>
      </c>
      <c r="K231" s="57">
        <f>(H231*(1+'Product Catalog'!H229)-J231)/(H231*(1+'Product Catalog'!H229))</f>
        <v>0.24137931034482751</v>
      </c>
      <c r="L231" s="56">
        <f>(F231+G231)*(1+VLOOKUP(E231,'Tariff Rates'!B:E,4,FALSE()))</f>
        <v>47.925000000000004</v>
      </c>
      <c r="M231" s="57">
        <f>(H231*(1+'Product Catalog'!H229)-L231)/(H231*(1+'Product Catalog'!H229))</f>
        <v>0.13793103448275859</v>
      </c>
      <c r="N231" s="58">
        <f t="shared" si="3"/>
        <v>-0.17241379310344832</v>
      </c>
    </row>
    <row r="232" spans="2:14" x14ac:dyDescent="0.2">
      <c r="B232" s="49" t="str">
        <f>'Product Catalog'!B230</f>
        <v>SKU-1227</v>
      </c>
      <c r="C232" s="49" t="str">
        <f>'Product Catalog'!C230</f>
        <v>Hoja Santa</v>
      </c>
      <c r="D232" s="49" t="str">
        <f>'Product Catalog'!D230</f>
        <v>Specialty</v>
      </c>
      <c r="E232" s="49" t="str">
        <f>'Product Catalog'!E230</f>
        <v>Mexico</v>
      </c>
      <c r="F232" s="50">
        <f>'Product Catalog'!F230</f>
        <v>31.03</v>
      </c>
      <c r="G232" s="50">
        <f>Methodology!$C$6</f>
        <v>4.5</v>
      </c>
      <c r="H232" s="51">
        <f>(F232+G232)*(1+VLOOKUP(E232,'Tariff Rates'!B:E,2,FALSE()))</f>
        <v>35.53</v>
      </c>
      <c r="I232" s="52">
        <f>'Product Catalog'!H230/(1+'Product Catalog'!H230)</f>
        <v>0.31034482758620691</v>
      </c>
      <c r="J232" s="51">
        <f>(F232+G232)*(1+VLOOKUP(E232,'Tariff Rates'!B:E,3,FALSE()))</f>
        <v>39.083000000000006</v>
      </c>
      <c r="K232" s="52">
        <f>(H232*(1+'Product Catalog'!H230)-J232)/(H232*(1+'Product Catalog'!H230))</f>
        <v>0.24137931034482751</v>
      </c>
      <c r="L232" s="51">
        <f>(F232+G232)*(1+VLOOKUP(E232,'Tariff Rates'!B:E,4,FALSE()))</f>
        <v>44.412500000000001</v>
      </c>
      <c r="M232" s="52">
        <f>(H232*(1+'Product Catalog'!H230)-L232)/(H232*(1+'Product Catalog'!H230))</f>
        <v>0.13793103448275865</v>
      </c>
      <c r="N232" s="53">
        <f t="shared" si="3"/>
        <v>-0.17241379310344826</v>
      </c>
    </row>
    <row r="233" spans="2:14" x14ac:dyDescent="0.2">
      <c r="B233" s="54" t="str">
        <f>'Product Catalog'!B231</f>
        <v>SKU-1228</v>
      </c>
      <c r="C233" s="54" t="str">
        <f>'Product Catalog'!C231</f>
        <v>Vietnamese Coriander</v>
      </c>
      <c r="D233" s="54" t="str">
        <f>'Product Catalog'!D231</f>
        <v>Specialty</v>
      </c>
      <c r="E233" s="54" t="str">
        <f>'Product Catalog'!E231</f>
        <v>Vietnam</v>
      </c>
      <c r="F233" s="55">
        <f>'Product Catalog'!F231</f>
        <v>32.53</v>
      </c>
      <c r="G233" s="55">
        <f>Methodology!$C$6</f>
        <v>4.5</v>
      </c>
      <c r="H233" s="56">
        <f>(F233+G233)*(1+VLOOKUP(E233,'Tariff Rates'!B:E,2,FALSE()))</f>
        <v>38.881500000000003</v>
      </c>
      <c r="I233" s="57">
        <f>'Product Catalog'!H231/(1+'Product Catalog'!H231)</f>
        <v>0.31034482758620691</v>
      </c>
      <c r="J233" s="56">
        <f>(F233+G233)*(1+VLOOKUP(E233,'Tariff Rates'!B:E,3,FALSE()))</f>
        <v>44.436</v>
      </c>
      <c r="K233" s="57">
        <f>(H233*(1+'Product Catalog'!H231)-J233)/(H233*(1+'Product Catalog'!H231))</f>
        <v>0.21182266009852216</v>
      </c>
      <c r="L233" s="56">
        <f>(F233+G233)*(1+VLOOKUP(E233,'Tariff Rates'!B:E,4,FALSE()))</f>
        <v>54.063800000000001</v>
      </c>
      <c r="M233" s="57">
        <f>(H233*(1+'Product Catalog'!H231)-L233)/(H233*(1+'Product Catalog'!H231))</f>
        <v>4.1050903119868608E-2</v>
      </c>
      <c r="N233" s="58">
        <f t="shared" si="3"/>
        <v>-0.26929392446633832</v>
      </c>
    </row>
    <row r="234" spans="2:14" x14ac:dyDescent="0.2">
      <c r="B234" s="49" t="str">
        <f>'Product Catalog'!B232</f>
        <v>SKU-1229</v>
      </c>
      <c r="C234" s="49" t="str">
        <f>'Product Catalog'!C232</f>
        <v>Perilla (Shiso)</v>
      </c>
      <c r="D234" s="49" t="str">
        <f>'Product Catalog'!D232</f>
        <v>Specialty</v>
      </c>
      <c r="E234" s="49" t="str">
        <f>'Product Catalog'!E232</f>
        <v>Japan</v>
      </c>
      <c r="F234" s="50">
        <f>'Product Catalog'!F232</f>
        <v>40.200000000000003</v>
      </c>
      <c r="G234" s="50">
        <f>Methodology!$C$6</f>
        <v>4.5</v>
      </c>
      <c r="H234" s="51">
        <f>(F234+G234)*(1+VLOOKUP(E234,'Tariff Rates'!B:E,2,FALSE()))</f>
        <v>44.7</v>
      </c>
      <c r="I234" s="52">
        <f>'Product Catalog'!H232/(1+'Product Catalog'!H232)</f>
        <v>0.31034482758620691</v>
      </c>
      <c r="J234" s="51">
        <f>(F234+G234)*(1+VLOOKUP(E234,'Tariff Rates'!B:E,3,FALSE()))</f>
        <v>49.170000000000009</v>
      </c>
      <c r="K234" s="52">
        <f>(H234*(1+'Product Catalog'!H232)-J234)/(H234*(1+'Product Catalog'!H232))</f>
        <v>0.24137931034482743</v>
      </c>
      <c r="L234" s="51">
        <f>(F234+G234)*(1+VLOOKUP(E234,'Tariff Rates'!B:E,4,FALSE()))</f>
        <v>51.405000000000001</v>
      </c>
      <c r="M234" s="52">
        <f>(H234*(1+'Product Catalog'!H232)-L234)/(H234*(1+'Product Catalog'!H232))</f>
        <v>0.20689655172413787</v>
      </c>
      <c r="N234" s="53">
        <f t="shared" si="3"/>
        <v>-0.10344827586206903</v>
      </c>
    </row>
    <row r="235" spans="2:14" x14ac:dyDescent="0.2">
      <c r="B235" s="54" t="str">
        <f>'Product Catalog'!B233</f>
        <v>SKU-1230</v>
      </c>
      <c r="C235" s="54" t="str">
        <f>'Product Catalog'!C233</f>
        <v>Wasabi Root</v>
      </c>
      <c r="D235" s="54" t="str">
        <f>'Product Catalog'!D233</f>
        <v>Specialty</v>
      </c>
      <c r="E235" s="54" t="str">
        <f>'Product Catalog'!E233</f>
        <v>Japan</v>
      </c>
      <c r="F235" s="55">
        <f>'Product Catalog'!F233</f>
        <v>237.65</v>
      </c>
      <c r="G235" s="55">
        <f>Methodology!$C$6</f>
        <v>4.5</v>
      </c>
      <c r="H235" s="56">
        <f>(F235+G235)*(1+VLOOKUP(E235,'Tariff Rates'!B:E,2,FALSE()))</f>
        <v>242.15</v>
      </c>
      <c r="I235" s="57">
        <f>'Product Catalog'!H233/(1+'Product Catalog'!H233)</f>
        <v>0.31034482758620691</v>
      </c>
      <c r="J235" s="56">
        <f>(F235+G235)*(1+VLOOKUP(E235,'Tariff Rates'!B:E,3,FALSE()))</f>
        <v>266.36500000000001</v>
      </c>
      <c r="K235" s="57">
        <f>(H235*(1+'Product Catalog'!H233)-J235)/(H235*(1+'Product Catalog'!H233))</f>
        <v>0.24137931034482757</v>
      </c>
      <c r="L235" s="56">
        <f>(F235+G235)*(1+VLOOKUP(E235,'Tariff Rates'!B:E,4,FALSE()))</f>
        <v>278.47249999999997</v>
      </c>
      <c r="M235" s="57">
        <f>(H235*(1+'Product Catalog'!H233)-L235)/(H235*(1+'Product Catalog'!H233))</f>
        <v>0.20689655172413804</v>
      </c>
      <c r="N235" s="58">
        <f t="shared" si="3"/>
        <v>-0.10344827586206887</v>
      </c>
    </row>
    <row r="236" spans="2:14" x14ac:dyDescent="0.2">
      <c r="B236" s="49" t="str">
        <f>'Product Catalog'!B234</f>
        <v>SKU-1231</v>
      </c>
      <c r="C236" s="49" t="str">
        <f>'Product Catalog'!C234</f>
        <v>Myoga</v>
      </c>
      <c r="D236" s="49" t="str">
        <f>'Product Catalog'!D234</f>
        <v>Specialty</v>
      </c>
      <c r="E236" s="49" t="str">
        <f>'Product Catalog'!E234</f>
        <v>Japan</v>
      </c>
      <c r="F236" s="50">
        <f>'Product Catalog'!F234</f>
        <v>66.84</v>
      </c>
      <c r="G236" s="50">
        <f>Methodology!$C$6</f>
        <v>4.5</v>
      </c>
      <c r="H236" s="51">
        <f>(F236+G236)*(1+VLOOKUP(E236,'Tariff Rates'!B:E,2,FALSE()))</f>
        <v>71.34</v>
      </c>
      <c r="I236" s="52">
        <f>'Product Catalog'!H234/(1+'Product Catalog'!H234)</f>
        <v>0.31034482758620691</v>
      </c>
      <c r="J236" s="51">
        <f>(F236+G236)*(1+VLOOKUP(E236,'Tariff Rates'!B:E,3,FALSE()))</f>
        <v>78.474000000000004</v>
      </c>
      <c r="K236" s="52">
        <f>(H236*(1+'Product Catalog'!H234)-J236)/(H236*(1+'Product Catalog'!H234))</f>
        <v>0.24137931034482754</v>
      </c>
      <c r="L236" s="51">
        <f>(F236+G236)*(1+VLOOKUP(E236,'Tariff Rates'!B:E,4,FALSE()))</f>
        <v>82.040999999999997</v>
      </c>
      <c r="M236" s="52">
        <f>(H236*(1+'Product Catalog'!H234)-L236)/(H236*(1+'Product Catalog'!H234))</f>
        <v>0.20689655172413796</v>
      </c>
      <c r="N236" s="53">
        <f t="shared" si="3"/>
        <v>-0.10344827586206895</v>
      </c>
    </row>
    <row r="237" spans="2:14" x14ac:dyDescent="0.2">
      <c r="B237" s="54" t="str">
        <f>'Product Catalog'!B235</f>
        <v>SKU-1232</v>
      </c>
      <c r="C237" s="54" t="str">
        <f>'Product Catalog'!C235</f>
        <v>Japanese Turnip</v>
      </c>
      <c r="D237" s="54" t="str">
        <f>'Product Catalog'!D235</f>
        <v>Specialty</v>
      </c>
      <c r="E237" s="54" t="str">
        <f>'Product Catalog'!E235</f>
        <v>Japan</v>
      </c>
      <c r="F237" s="55">
        <f>'Product Catalog'!F235</f>
        <v>34.229999999999997</v>
      </c>
      <c r="G237" s="55">
        <f>Methodology!$C$6</f>
        <v>4.5</v>
      </c>
      <c r="H237" s="56">
        <f>(F237+G237)*(1+VLOOKUP(E237,'Tariff Rates'!B:E,2,FALSE()))</f>
        <v>38.729999999999997</v>
      </c>
      <c r="I237" s="57">
        <f>'Product Catalog'!H235/(1+'Product Catalog'!H235)</f>
        <v>0.31034482758620691</v>
      </c>
      <c r="J237" s="56">
        <f>(F237+G237)*(1+VLOOKUP(E237,'Tariff Rates'!B:E,3,FALSE()))</f>
        <v>42.603000000000002</v>
      </c>
      <c r="K237" s="57">
        <f>(H237*(1+'Product Catalog'!H235)-J237)/(H237*(1+'Product Catalog'!H235))</f>
        <v>0.24137931034482751</v>
      </c>
      <c r="L237" s="56">
        <f>(F237+G237)*(1+VLOOKUP(E237,'Tariff Rates'!B:E,4,FALSE()))</f>
        <v>44.53949999999999</v>
      </c>
      <c r="M237" s="57">
        <f>(H237*(1+'Product Catalog'!H235)-L237)/(H237*(1+'Product Catalog'!H235))</f>
        <v>0.20689655172413807</v>
      </c>
      <c r="N237" s="58">
        <f t="shared" si="3"/>
        <v>-0.10344827586206884</v>
      </c>
    </row>
  </sheetData>
  <autoFilter ref="B5:N237" xr:uid="{00000000-0009-0000-0000-000003000000}"/>
  <mergeCells count="7">
    <mergeCell ref="B2:N2"/>
    <mergeCell ref="B3:N3"/>
    <mergeCell ref="B4:E4"/>
    <mergeCell ref="F4:G4"/>
    <mergeCell ref="H4:I4"/>
    <mergeCell ref="J4:K4"/>
    <mergeCell ref="L4:M4"/>
  </mergeCells>
  <conditionalFormatting sqref="N6:N237">
    <cfRule type="colorScale" priority="2">
      <colorScale>
        <cfvo type="num" val="-0.3"/>
        <cfvo type="num" val="-0.05"/>
        <cfvo type="num" val="0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08080"/>
  </sheetPr>
  <dimension ref="B2:D34"/>
  <sheetViews>
    <sheetView showGridLines="0" zoomScaleNormal="100" workbookViewId="0">
      <selection activeCell="D7" sqref="D7"/>
    </sheetView>
  </sheetViews>
  <sheetFormatPr baseColWidth="10" defaultColWidth="8.6640625" defaultRowHeight="15" x14ac:dyDescent="0.2"/>
  <cols>
    <col min="1" max="1" width="2" customWidth="1"/>
    <col min="2" max="2" width="28" customWidth="1"/>
    <col min="3" max="3" width="18" customWidth="1"/>
    <col min="4" max="4" width="60" customWidth="1"/>
    <col min="5" max="5" width="2" customWidth="1"/>
  </cols>
  <sheetData>
    <row r="2" spans="2:4" ht="25" x14ac:dyDescent="0.25">
      <c r="B2" s="4" t="s">
        <v>559</v>
      </c>
      <c r="C2" s="4"/>
      <c r="D2" s="4"/>
    </row>
    <row r="3" spans="2:4" x14ac:dyDescent="0.2">
      <c r="B3" s="3" t="s">
        <v>560</v>
      </c>
      <c r="C3" s="3"/>
      <c r="D3" s="3"/>
    </row>
    <row r="5" spans="2:4" ht="15" customHeight="1" x14ac:dyDescent="0.2">
      <c r="B5" s="10" t="s">
        <v>561</v>
      </c>
      <c r="C5" s="10"/>
      <c r="D5" s="10"/>
    </row>
    <row r="6" spans="2:4" x14ac:dyDescent="0.2">
      <c r="B6" s="59" t="s">
        <v>562</v>
      </c>
      <c r="C6" s="60">
        <v>4.5</v>
      </c>
      <c r="D6" s="40" t="s">
        <v>563</v>
      </c>
    </row>
    <row r="7" spans="2:4" x14ac:dyDescent="0.2">
      <c r="B7" s="61" t="s">
        <v>564</v>
      </c>
      <c r="C7" s="38">
        <v>0.3</v>
      </c>
      <c r="D7" s="67" t="s">
        <v>597</v>
      </c>
    </row>
    <row r="8" spans="2:4" ht="28" x14ac:dyDescent="0.2">
      <c r="B8" s="59" t="s">
        <v>565</v>
      </c>
      <c r="C8" s="43" t="s">
        <v>566</v>
      </c>
      <c r="D8" s="40" t="s">
        <v>567</v>
      </c>
    </row>
    <row r="9" spans="2:4" ht="28" x14ac:dyDescent="0.2">
      <c r="B9" s="61" t="s">
        <v>568</v>
      </c>
      <c r="C9" s="47" t="s">
        <v>569</v>
      </c>
      <c r="D9" s="44" t="s">
        <v>570</v>
      </c>
    </row>
    <row r="10" spans="2:4" x14ac:dyDescent="0.2">
      <c r="B10" s="59" t="s">
        <v>571</v>
      </c>
      <c r="C10" s="43" t="s">
        <v>572</v>
      </c>
      <c r="D10" s="40" t="s">
        <v>573</v>
      </c>
    </row>
    <row r="11" spans="2:4" ht="28" x14ac:dyDescent="0.2">
      <c r="B11" s="61" t="s">
        <v>574</v>
      </c>
      <c r="C11" s="47" t="s">
        <v>575</v>
      </c>
      <c r="D11" s="44" t="s">
        <v>576</v>
      </c>
    </row>
    <row r="14" spans="2:4" ht="15" customHeight="1" x14ac:dyDescent="0.2">
      <c r="B14" s="10" t="s">
        <v>577</v>
      </c>
      <c r="C14" s="10"/>
      <c r="D14" s="10"/>
    </row>
    <row r="15" spans="2:4" ht="15" customHeight="1" x14ac:dyDescent="0.2">
      <c r="B15" s="59" t="s">
        <v>550</v>
      </c>
      <c r="C15" s="63" t="s">
        <v>578</v>
      </c>
      <c r="D15" s="63"/>
    </row>
    <row r="16" spans="2:4" ht="15" customHeight="1" x14ac:dyDescent="0.2">
      <c r="B16" s="61" t="s">
        <v>579</v>
      </c>
      <c r="C16" s="64" t="s">
        <v>580</v>
      </c>
      <c r="D16" s="64"/>
    </row>
    <row r="17" spans="2:4" ht="23.75" customHeight="1" x14ac:dyDescent="0.2">
      <c r="B17" s="59" t="s">
        <v>581</v>
      </c>
      <c r="C17" s="63" t="s">
        <v>582</v>
      </c>
      <c r="D17" s="63"/>
    </row>
    <row r="18" spans="2:4" ht="23.75" customHeight="1" x14ac:dyDescent="0.2">
      <c r="B18" s="61" t="s">
        <v>583</v>
      </c>
      <c r="C18" s="64" t="s">
        <v>584</v>
      </c>
      <c r="D18" s="64"/>
    </row>
    <row r="19" spans="2:4" ht="23.75" customHeight="1" x14ac:dyDescent="0.2">
      <c r="B19" s="59" t="s">
        <v>585</v>
      </c>
      <c r="C19" s="63" t="s">
        <v>586</v>
      </c>
      <c r="D19" s="63"/>
    </row>
    <row r="20" spans="2:4" ht="15" customHeight="1" x14ac:dyDescent="0.2">
      <c r="B20" s="61" t="s">
        <v>587</v>
      </c>
      <c r="C20" s="64" t="s">
        <v>588</v>
      </c>
      <c r="D20" s="64"/>
    </row>
    <row r="23" spans="2:4" ht="15" customHeight="1" x14ac:dyDescent="0.2">
      <c r="B23" s="10" t="s">
        <v>589</v>
      </c>
      <c r="C23" s="10"/>
      <c r="D23" s="10"/>
    </row>
    <row r="24" spans="2:4" ht="15" customHeight="1" x14ac:dyDescent="0.2">
      <c r="B24" s="5" t="s">
        <v>590</v>
      </c>
      <c r="C24" s="5"/>
      <c r="D24" s="5"/>
    </row>
    <row r="25" spans="2:4" ht="15" customHeight="1" x14ac:dyDescent="0.2">
      <c r="B25" s="5" t="s">
        <v>591</v>
      </c>
      <c r="C25" s="5"/>
      <c r="D25" s="5"/>
    </row>
    <row r="26" spans="2:4" ht="15" customHeight="1" x14ac:dyDescent="0.2">
      <c r="B26" s="5" t="s">
        <v>592</v>
      </c>
      <c r="C26" s="5"/>
      <c r="D26" s="5"/>
    </row>
    <row r="27" spans="2:4" ht="15" customHeight="1" x14ac:dyDescent="0.2">
      <c r="B27" s="5" t="s">
        <v>593</v>
      </c>
      <c r="C27" s="5"/>
      <c r="D27" s="5"/>
    </row>
    <row r="28" spans="2:4" ht="15" customHeight="1" x14ac:dyDescent="0.2">
      <c r="B28" s="5" t="s">
        <v>594</v>
      </c>
      <c r="C28" s="5"/>
      <c r="D28" s="5"/>
    </row>
    <row r="31" spans="2:4" ht="15" customHeight="1" x14ac:dyDescent="0.2">
      <c r="B31" s="10" t="s">
        <v>595</v>
      </c>
      <c r="C31" s="10"/>
      <c r="D31" s="10"/>
    </row>
    <row r="32" spans="2:4" ht="15" customHeight="1" x14ac:dyDescent="0.2">
      <c r="B32" s="66" t="s">
        <v>596</v>
      </c>
      <c r="C32" s="65"/>
      <c r="D32" s="65"/>
    </row>
    <row r="33" spans="2:4" x14ac:dyDescent="0.2">
      <c r="B33" s="65"/>
      <c r="C33" s="65"/>
      <c r="D33" s="65"/>
    </row>
    <row r="34" spans="2:4" x14ac:dyDescent="0.2">
      <c r="B34" s="65"/>
      <c r="C34" s="65"/>
      <c r="D34" s="65"/>
    </row>
  </sheetData>
  <mergeCells count="18">
    <mergeCell ref="B28:D28"/>
    <mergeCell ref="B31:D31"/>
    <mergeCell ref="B32:D34"/>
    <mergeCell ref="B23:D23"/>
    <mergeCell ref="B24:D24"/>
    <mergeCell ref="B25:D25"/>
    <mergeCell ref="B26:D26"/>
    <mergeCell ref="B27:D27"/>
    <mergeCell ref="C16:D16"/>
    <mergeCell ref="C17:D17"/>
    <mergeCell ref="C18:D18"/>
    <mergeCell ref="C19:D19"/>
    <mergeCell ref="C20:D20"/>
    <mergeCell ref="B2:D2"/>
    <mergeCell ref="B3:D3"/>
    <mergeCell ref="B5:D5"/>
    <mergeCell ref="B14:D14"/>
    <mergeCell ref="C15:D1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Tariff Rates</vt:lpstr>
      <vt:lpstr>Product Catalog</vt:lpstr>
      <vt:lpstr>Impact Analysis</vt:lpstr>
      <vt:lpstr>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Kurt Lu</cp:lastModifiedBy>
  <cp:revision>0</cp:revision>
  <dcterms:created xsi:type="dcterms:W3CDTF">2026-04-24T08:14:35Z</dcterms:created>
  <dcterms:modified xsi:type="dcterms:W3CDTF">2026-04-24T08:21:23Z</dcterms:modified>
  <dc:language>en-US</dc:language>
</cp:coreProperties>
</file>